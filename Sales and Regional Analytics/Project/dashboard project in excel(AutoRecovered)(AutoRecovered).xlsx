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Ex5.xml" ContentType="application/vnd.ms-office.chartex+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drawings/drawing6.xml" ContentType="application/vnd.openxmlformats-officedocument.drawing+xml"/>
  <Override PartName="/xl/slicers/slicer5.xml" ContentType="application/vnd.ms-excel.slicer+xml"/>
  <Override PartName="/xl/timelines/timeline5.xml" ContentType="application/vnd.ms-excel.timelin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slicers/slicer6.xml" ContentType="application/vnd.ms-excel.slicer+xml"/>
  <Override PartName="/xl/timelines/timeline6.xml" ContentType="application/vnd.ms-excel.timelin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20.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timelines/timeline7.xml" ContentType="application/vnd.ms-excel.timeline+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dhu suraj\Desktop\Sales and Regional Analytics\Project\"/>
    </mc:Choice>
  </mc:AlternateContent>
  <xr:revisionPtr revIDLastSave="0" documentId="13_ncr:1_{F5AC5513-1579-47E9-9492-726480F3E3A6}" xr6:coauthVersionLast="47" xr6:coauthVersionMax="47" xr10:uidLastSave="{00000000-0000-0000-0000-000000000000}"/>
  <bookViews>
    <workbookView xWindow="-108" yWindow="-108" windowWidth="23256" windowHeight="12456" activeTab="4" xr2:uid="{8E0097F6-70AC-434E-AE97-6ED3F5BB88F6}"/>
  </bookViews>
  <sheets>
    <sheet name="Data" sheetId="1" r:id="rId1"/>
    <sheet name="Pivot table" sheetId="13" r:id="rId2"/>
    <sheet name="Dashboard " sheetId="11" r:id="rId3"/>
    <sheet name=" Products " sheetId="14" r:id="rId4"/>
    <sheet name="Salesman " sheetId="16" r:id="rId5"/>
    <sheet name="About" sheetId="7" state="hidden" r:id="rId6"/>
    <sheet name="salesman" sheetId="6" state="hidden" r:id="rId7"/>
    <sheet name="Products" sheetId="4" state="hidden" r:id="rId8"/>
    <sheet name="Pivot Tables" sheetId="3" state="hidden" r:id="rId9"/>
  </sheets>
  <definedNames>
    <definedName name="_xlchart.v1.0" hidden="1">'Pivot table'!$B$18:$B$29</definedName>
    <definedName name="_xlchart.v1.1" hidden="1">'Pivot table'!$C$18:$C$29</definedName>
    <definedName name="_xlchart.v1.4" hidden="1">'Pivot table'!$B$18:$B$29</definedName>
    <definedName name="_xlchart.v1.5" hidden="1">'Pivot table'!$C$18:$C$29</definedName>
    <definedName name="_xlchart.v2.2" hidden="1">'Pivot table'!$B$68:$B$70</definedName>
    <definedName name="_xlchart.v2.3" hidden="1">'Pivot table'!$C$68:$C$70</definedName>
    <definedName name="_xlchart.v2.6" hidden="1">'Pivot table'!$B$68:$B$70</definedName>
    <definedName name="_xlchart.v2.7" hidden="1">'Pivot table'!$C$68:$C$70</definedName>
    <definedName name="NativeTimeline_Date">#N/A</definedName>
    <definedName name="NativeTimeline_Date1">#N/A</definedName>
    <definedName name="Slicer_Item1">#N/A</definedName>
    <definedName name="Slicer_Region">#N/A</definedName>
    <definedName name="Slicer_Region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0" i="13" l="1"/>
  <c r="B69" i="13"/>
  <c r="B68" i="13"/>
  <c r="B18" i="13"/>
  <c r="B19" i="13"/>
  <c r="B20" i="13"/>
  <c r="B21" i="13"/>
  <c r="B22" i="13"/>
  <c r="B23" i="13"/>
  <c r="B24" i="13"/>
  <c r="B25" i="13"/>
  <c r="B26" i="13"/>
  <c r="B27" i="13"/>
  <c r="B28" i="13"/>
  <c r="B29" i="13"/>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 r="C19" i="13"/>
  <c r="C51" i="13"/>
  <c r="C21" i="13"/>
  <c r="C23" i="13"/>
  <c r="C25" i="13"/>
  <c r="C27" i="13"/>
  <c r="C29" i="13"/>
  <c r="C54" i="13"/>
  <c r="C18" i="13"/>
  <c r="C20" i="13"/>
  <c r="C22" i="13"/>
  <c r="C24" i="13"/>
  <c r="C26" i="13"/>
  <c r="C28" i="13"/>
  <c r="C70" i="13"/>
  <c r="C69" i="13"/>
  <c r="C68" i="13"/>
</calcChain>
</file>

<file path=xl/sharedStrings.xml><?xml version="1.0" encoding="utf-8"?>
<sst xmlns="http://schemas.openxmlformats.org/spreadsheetml/2006/main" count="1266" uniqueCount="42">
  <si>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</si>
  <si>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</si>
  <si>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</si>
  <si>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</si>
  <si>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</si>
  <si>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</si>
  <si>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</si>
  <si>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</si>
  <si>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</si>
  <si>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</si>
  <si>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</si>
  <si>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</si>
  <si>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</si>
  <si>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</si>
  <si>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</si>
  <si>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</si>
  <si>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</si>
  <si>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</si>
  <si>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</si>
  <si>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</si>
  <si>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</si>
  <si>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</si>
  <si>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</si>
  <si>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</si>
  <si>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</si>
  <si>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</si>
  <si>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</si>
  <si>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</si>
  <si>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</si>
  <si>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</si>
  <si>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</si>
  <si>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</si>
  <si>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</si>
  <si>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</si>
  <si>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</si>
  <si>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</si>
  <si>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</si>
  <si>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</si>
  <si>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</si>
  <si>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</si>
  <si>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</si>
  <si>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Count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</si>
</sst>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3" fontId="1" fillId="0" borderId="0" xfId="0" applyNumberFormat="1" applyFont="1"/>
    <xf numFmtId="1" fontId="0" fillId="0" borderId="0" xfId="0" applyNumberFormat="1"/>
    <xf numFmtId="0" fontId="0" fillId="3" borderId="0" xfId="0" applyFill="1"/>
  </cellXfs>
  <cellStyles count="1">
    <cellStyle name="Normal" xfId="0" builtinId="0"/>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microsoft.com/office/2011/relationships/timelineCache" Target="timelineCaches/timelineCache2.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table'!$C$32</c:f>
              <c:strCache>
                <c:ptCount val="1"/>
                <c:pt idx="0">
                  <c:v>Total</c:v>
                </c:pt>
              </c:strCache>
            </c:strRef>
          </c:tx>
          <c:spPr>
            <a:solidFill>
              <a:schemeClr val="accent1"/>
            </a:solidFill>
            <a:ln>
              <a:noFill/>
            </a:ln>
            <a:effectLst/>
          </c:spPr>
          <c:invertIfNegative val="0"/>
          <c:cat>
            <c:strRef>
              <c:f>'Pivot table'!$B$33:$B$37</c:f>
              <c:strCache>
                <c:ptCount val="4"/>
                <c:pt idx="0">
                  <c:v>East</c:v>
                </c:pt>
                <c:pt idx="1">
                  <c:v>North</c:v>
                </c:pt>
                <c:pt idx="2">
                  <c:v>South</c:v>
                </c:pt>
                <c:pt idx="3">
                  <c:v>West</c:v>
                </c:pt>
              </c:strCache>
            </c:strRef>
          </c:cat>
          <c:val>
            <c:numRef>
              <c:f>'Pivot table'!$C$33:$C$37</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58D3-4C8E-94EB-51754C2F4AAE}"/>
            </c:ext>
          </c:extLst>
        </c:ser>
        <c:dLbls>
          <c:showLegendKey val="0"/>
          <c:showVal val="0"/>
          <c:showCatName val="0"/>
          <c:showSerName val="0"/>
          <c:showPercent val="0"/>
          <c:showBubbleSize val="0"/>
        </c:dLbls>
        <c:gapWidth val="219"/>
        <c:overlap val="-27"/>
        <c:axId val="1384681583"/>
        <c:axId val="1384682063"/>
      </c:barChart>
      <c:catAx>
        <c:axId val="13846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82063"/>
        <c:crosses val="autoZero"/>
        <c:auto val="1"/>
        <c:lblAlgn val="ctr"/>
        <c:lblOffset val="100"/>
        <c:noMultiLvlLbl val="0"/>
      </c:catAx>
      <c:valAx>
        <c:axId val="1384682063"/>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8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table!PivotTable4</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table'!$C$40</c:f>
              <c:strCache>
                <c:ptCount val="1"/>
                <c:pt idx="0">
                  <c:v>Total</c:v>
                </c:pt>
              </c:strCache>
            </c:strRef>
          </c:tx>
          <c:spPr>
            <a:ln w="28575" cap="rnd">
              <a:solidFill>
                <a:schemeClr val="accent1"/>
              </a:solidFill>
              <a:round/>
            </a:ln>
            <a:effectLst/>
          </c:spPr>
          <c:marker>
            <c:symbol val="none"/>
          </c:marker>
          <c:cat>
            <c:strRef>
              <c:f>'Pivot table'!$B$41:$B$47</c:f>
              <c:strCache>
                <c:ptCount val="6"/>
                <c:pt idx="0">
                  <c:v>Keyboard</c:v>
                </c:pt>
                <c:pt idx="1">
                  <c:v>Monitor</c:v>
                </c:pt>
                <c:pt idx="2">
                  <c:v>Mouse</c:v>
                </c:pt>
                <c:pt idx="3">
                  <c:v>Printer</c:v>
                </c:pt>
                <c:pt idx="4">
                  <c:v>Scanner</c:v>
                </c:pt>
                <c:pt idx="5">
                  <c:v>Speaker</c:v>
                </c:pt>
              </c:strCache>
            </c:strRef>
          </c:cat>
          <c:val>
            <c:numRef>
              <c:f>'Pivot table'!$C$41:$C$47</c:f>
              <c:numCache>
                <c:formatCode>0.000</c:formatCode>
                <c:ptCount val="6"/>
                <c:pt idx="0">
                  <c:v>25320</c:v>
                </c:pt>
                <c:pt idx="1">
                  <c:v>339000</c:v>
                </c:pt>
                <c:pt idx="2">
                  <c:v>66150</c:v>
                </c:pt>
                <c:pt idx="3">
                  <c:v>934500</c:v>
                </c:pt>
                <c:pt idx="4">
                  <c:v>352200</c:v>
                </c:pt>
                <c:pt idx="5">
                  <c:v>65400</c:v>
                </c:pt>
              </c:numCache>
            </c:numRef>
          </c:val>
          <c:smooth val="0"/>
          <c:extLst>
            <c:ext xmlns:c16="http://schemas.microsoft.com/office/drawing/2014/chart" uri="{C3380CC4-5D6E-409C-BE32-E72D297353CC}">
              <c16:uniqueId val="{00000000-BF6C-411F-820B-4B951D22A502}"/>
            </c:ext>
          </c:extLst>
        </c:ser>
        <c:dLbls>
          <c:showLegendKey val="0"/>
          <c:showVal val="0"/>
          <c:showCatName val="0"/>
          <c:showSerName val="0"/>
          <c:showPercent val="0"/>
          <c:showBubbleSize val="0"/>
        </c:dLbls>
        <c:smooth val="0"/>
        <c:axId val="1394058815"/>
        <c:axId val="1394059775"/>
      </c:lineChart>
      <c:catAx>
        <c:axId val="139405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59775"/>
        <c:crosses val="autoZero"/>
        <c:auto val="1"/>
        <c:lblAlgn val="ctr"/>
        <c:lblOffset val="100"/>
        <c:noMultiLvlLbl val="0"/>
      </c:catAx>
      <c:valAx>
        <c:axId val="1394059775"/>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5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table'!$C$56</c:f>
              <c:strCache>
                <c:ptCount val="1"/>
                <c:pt idx="0">
                  <c:v>Total</c:v>
                </c:pt>
              </c:strCache>
            </c:strRef>
          </c:tx>
          <c:spPr>
            <a:solidFill>
              <a:schemeClr val="accent1"/>
            </a:solidFill>
            <a:ln>
              <a:noFill/>
            </a:ln>
            <a:effectLst/>
          </c:spPr>
          <c:invertIfNegative val="0"/>
          <c:cat>
            <c:strRef>
              <c:f>'Pivot table'!$B$57:$B$60</c:f>
              <c:strCache>
                <c:ptCount val="3"/>
                <c:pt idx="0">
                  <c:v>Monitor</c:v>
                </c:pt>
                <c:pt idx="1">
                  <c:v>Mouse</c:v>
                </c:pt>
                <c:pt idx="2">
                  <c:v>Printer</c:v>
                </c:pt>
              </c:strCache>
            </c:strRef>
          </c:cat>
          <c:val>
            <c:numRef>
              <c:f>'Pivot table'!$C$57:$C$60</c:f>
              <c:numCache>
                <c:formatCode>0</c:formatCode>
                <c:ptCount val="3"/>
                <c:pt idx="0">
                  <c:v>251</c:v>
                </c:pt>
                <c:pt idx="1">
                  <c:v>319</c:v>
                </c:pt>
                <c:pt idx="2">
                  <c:v>445</c:v>
                </c:pt>
              </c:numCache>
            </c:numRef>
          </c:val>
          <c:extLst>
            <c:ext xmlns:c16="http://schemas.microsoft.com/office/drawing/2014/chart" uri="{C3380CC4-5D6E-409C-BE32-E72D297353CC}">
              <c16:uniqueId val="{00000000-5A78-45CD-AC93-C22111C32578}"/>
            </c:ext>
          </c:extLst>
        </c:ser>
        <c:dLbls>
          <c:showLegendKey val="0"/>
          <c:showVal val="0"/>
          <c:showCatName val="0"/>
          <c:showSerName val="0"/>
          <c:showPercent val="0"/>
          <c:showBubbleSize val="0"/>
        </c:dLbls>
        <c:gapWidth val="219"/>
        <c:overlap val="-27"/>
        <c:axId val="1138836271"/>
        <c:axId val="1138829071"/>
      </c:barChart>
      <c:catAx>
        <c:axId val="113883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29071"/>
        <c:crosses val="autoZero"/>
        <c:auto val="1"/>
        <c:lblAlgn val="ctr"/>
        <c:lblOffset val="100"/>
        <c:noMultiLvlLbl val="0"/>
      </c:catAx>
      <c:valAx>
        <c:axId val="1138829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3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96-41FE-B88B-A3BEA91A38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96-41FE-B88B-A3BEA91A38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96-41FE-B88B-A3BEA91A38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96-41FE-B88B-A3BEA91A38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96-41FE-B88B-A3BEA91A38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F96-41FE-B88B-A3BEA91A38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table'!$B$79:$B$85</c:f>
              <c:strCache>
                <c:ptCount val="6"/>
                <c:pt idx="0">
                  <c:v>Keyboard</c:v>
                </c:pt>
                <c:pt idx="1">
                  <c:v>Monitor</c:v>
                </c:pt>
                <c:pt idx="2">
                  <c:v>Mouse</c:v>
                </c:pt>
                <c:pt idx="3">
                  <c:v>Printer</c:v>
                </c:pt>
                <c:pt idx="4">
                  <c:v>Scanner</c:v>
                </c:pt>
                <c:pt idx="5">
                  <c:v>Speaker</c:v>
                </c:pt>
              </c:strCache>
            </c:strRef>
          </c:cat>
          <c:val>
            <c:numRef>
              <c:f>'Pivot table'!$C$79:$C$85</c:f>
              <c:numCache>
                <c:formatCode>General</c:formatCode>
                <c:ptCount val="6"/>
                <c:pt idx="0">
                  <c:v>54</c:v>
                </c:pt>
                <c:pt idx="1">
                  <c:v>45</c:v>
                </c:pt>
                <c:pt idx="2">
                  <c:v>80</c:v>
                </c:pt>
                <c:pt idx="3">
                  <c:v>73</c:v>
                </c:pt>
                <c:pt idx="4">
                  <c:v>53</c:v>
                </c:pt>
                <c:pt idx="5">
                  <c:v>61</c:v>
                </c:pt>
              </c:numCache>
            </c:numRef>
          </c:val>
          <c:extLst>
            <c:ext xmlns:c16="http://schemas.microsoft.com/office/drawing/2014/chart" uri="{C3380CC4-5D6E-409C-BE32-E72D297353CC}">
              <c16:uniqueId val="{00000000-E55A-4C77-AEBC-3A4F19F2FA2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table!PivotTable9</c:name>
    <c:fmtId val="2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table'!$C$91</c:f>
              <c:strCache>
                <c:ptCount val="1"/>
                <c:pt idx="0">
                  <c:v>Total</c:v>
                </c:pt>
              </c:strCache>
            </c:strRef>
          </c:tx>
          <c:spPr>
            <a:ln w="28575" cap="rnd">
              <a:solidFill>
                <a:schemeClr val="accent1"/>
              </a:solidFill>
              <a:round/>
            </a:ln>
            <a:effectLst/>
          </c:spPr>
          <c:marker>
            <c:symbol val="none"/>
          </c:marker>
          <c:cat>
            <c:strRef>
              <c:f>'Pivot table'!$B$92:$B$95</c:f>
              <c:strCache>
                <c:ptCount val="3"/>
                <c:pt idx="0">
                  <c:v>Ajit Kumar</c:v>
                </c:pt>
                <c:pt idx="1">
                  <c:v>Rohit Das</c:v>
                </c:pt>
                <c:pt idx="2">
                  <c:v>Siddhu</c:v>
                </c:pt>
              </c:strCache>
            </c:strRef>
          </c:cat>
          <c:val>
            <c:numRef>
              <c:f>'Pivot table'!$C$92:$C$95</c:f>
              <c:numCache>
                <c:formatCode>General</c:formatCode>
                <c:ptCount val="3"/>
                <c:pt idx="0">
                  <c:v>84</c:v>
                </c:pt>
                <c:pt idx="1">
                  <c:v>84</c:v>
                </c:pt>
                <c:pt idx="2">
                  <c:v>96</c:v>
                </c:pt>
              </c:numCache>
            </c:numRef>
          </c:val>
          <c:smooth val="0"/>
          <c:extLst>
            <c:ext xmlns:c16="http://schemas.microsoft.com/office/drawing/2014/chart" uri="{C3380CC4-5D6E-409C-BE32-E72D297353CC}">
              <c16:uniqueId val="{00000000-8BFA-4912-97C0-045896864413}"/>
            </c:ext>
          </c:extLst>
        </c:ser>
        <c:dLbls>
          <c:showLegendKey val="0"/>
          <c:showVal val="0"/>
          <c:showCatName val="0"/>
          <c:showSerName val="0"/>
          <c:showPercent val="0"/>
          <c:showBubbleSize val="0"/>
        </c:dLbls>
        <c:smooth val="0"/>
        <c:axId val="452211520"/>
        <c:axId val="452217760"/>
      </c:lineChart>
      <c:catAx>
        <c:axId val="4522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7760"/>
        <c:crosses val="autoZero"/>
        <c:auto val="1"/>
        <c:lblAlgn val="ctr"/>
        <c:lblOffset val="100"/>
        <c:noMultiLvlLbl val="0"/>
      </c:catAx>
      <c:valAx>
        <c:axId val="45221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table'!$C$97</c:f>
              <c:strCache>
                <c:ptCount val="1"/>
                <c:pt idx="0">
                  <c:v>Total</c:v>
                </c:pt>
              </c:strCache>
            </c:strRef>
          </c:tx>
          <c:spPr>
            <a:solidFill>
              <a:schemeClr val="accent1"/>
            </a:solidFill>
            <a:ln>
              <a:noFill/>
            </a:ln>
            <a:effectLst/>
          </c:spPr>
          <c:invertIfNegative val="0"/>
          <c:cat>
            <c:strRef>
              <c:f>'Pivot table'!$B$98:$B$104</c:f>
              <c:strCache>
                <c:ptCount val="6"/>
                <c:pt idx="0">
                  <c:v>Ajit Kumar</c:v>
                </c:pt>
                <c:pt idx="1">
                  <c:v>Amit</c:v>
                </c:pt>
                <c:pt idx="2">
                  <c:v>Chandu</c:v>
                </c:pt>
                <c:pt idx="3">
                  <c:v>Ramesh</c:v>
                </c:pt>
                <c:pt idx="4">
                  <c:v>Rohit Das</c:v>
                </c:pt>
                <c:pt idx="5">
                  <c:v>Siddhu</c:v>
                </c:pt>
              </c:strCache>
            </c:strRef>
          </c:cat>
          <c:val>
            <c:numRef>
              <c:f>'Pivot table'!$C$98:$C$104</c:f>
              <c:numCache>
                <c:formatCode>0.000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6556-48D2-9C8C-17CF31F3AACF}"/>
            </c:ext>
          </c:extLst>
        </c:ser>
        <c:dLbls>
          <c:showLegendKey val="0"/>
          <c:showVal val="0"/>
          <c:showCatName val="0"/>
          <c:showSerName val="0"/>
          <c:showPercent val="0"/>
          <c:showBubbleSize val="0"/>
        </c:dLbls>
        <c:gapWidth val="219"/>
        <c:overlap val="-27"/>
        <c:axId val="452207200"/>
        <c:axId val="452208160"/>
      </c:barChart>
      <c:catAx>
        <c:axId val="45220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08160"/>
        <c:crosses val="autoZero"/>
        <c:auto val="1"/>
        <c:lblAlgn val="ctr"/>
        <c:lblOffset val="100"/>
        <c:noMultiLvlLbl val="0"/>
      </c:catAx>
      <c:valAx>
        <c:axId val="45220816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0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table'!$C$106</c:f>
              <c:strCache>
                <c:ptCount val="1"/>
                <c:pt idx="0">
                  <c:v>Total</c:v>
                </c:pt>
              </c:strCache>
            </c:strRef>
          </c:tx>
          <c:spPr>
            <a:solidFill>
              <a:schemeClr val="accent1"/>
            </a:solidFill>
            <a:ln>
              <a:noFill/>
            </a:ln>
            <a:effectLst/>
          </c:spPr>
          <c:invertIfNegative val="0"/>
          <c:cat>
            <c:strRef>
              <c:f>'Pivot table'!$B$107:$B$110</c:f>
              <c:strCache>
                <c:ptCount val="3"/>
                <c:pt idx="0">
                  <c:v>Amit</c:v>
                </c:pt>
                <c:pt idx="1">
                  <c:v>Chandu</c:v>
                </c:pt>
                <c:pt idx="2">
                  <c:v>Ramesh</c:v>
                </c:pt>
              </c:strCache>
            </c:strRef>
          </c:cat>
          <c:val>
            <c:numRef>
              <c:f>'Pivot table'!$C$107:$C$110</c:f>
              <c:numCache>
                <c:formatCode>General</c:formatCode>
                <c:ptCount val="3"/>
                <c:pt idx="0">
                  <c:v>34</c:v>
                </c:pt>
                <c:pt idx="1">
                  <c:v>34</c:v>
                </c:pt>
                <c:pt idx="2">
                  <c:v>34</c:v>
                </c:pt>
              </c:numCache>
            </c:numRef>
          </c:val>
          <c:extLst>
            <c:ext xmlns:c16="http://schemas.microsoft.com/office/drawing/2014/chart" uri="{C3380CC4-5D6E-409C-BE32-E72D297353CC}">
              <c16:uniqueId val="{00000000-7D27-4E20-AD9B-A8015919E45B}"/>
            </c:ext>
          </c:extLst>
        </c:ser>
        <c:dLbls>
          <c:showLegendKey val="0"/>
          <c:showVal val="0"/>
          <c:showCatName val="0"/>
          <c:showSerName val="0"/>
          <c:showPercent val="0"/>
          <c:showBubbleSize val="0"/>
        </c:dLbls>
        <c:gapWidth val="182"/>
        <c:axId val="452217280"/>
        <c:axId val="452195200"/>
      </c:barChart>
      <c:catAx>
        <c:axId val="45221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95200"/>
        <c:crosses val="autoZero"/>
        <c:auto val="1"/>
        <c:lblAlgn val="ctr"/>
        <c:lblOffset val="100"/>
        <c:noMultiLvlLbl val="0"/>
      </c:catAx>
      <c:valAx>
        <c:axId val="45219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table'!$C$32</c:f>
              <c:strCache>
                <c:ptCount val="1"/>
                <c:pt idx="0">
                  <c:v>Total</c:v>
                </c:pt>
              </c:strCache>
            </c:strRef>
          </c:tx>
          <c:spPr>
            <a:solidFill>
              <a:schemeClr val="accent1"/>
            </a:solidFill>
            <a:ln>
              <a:noFill/>
            </a:ln>
            <a:effectLst/>
          </c:spPr>
          <c:invertIfNegative val="0"/>
          <c:cat>
            <c:strRef>
              <c:f>'Pivot table'!$B$33:$B$37</c:f>
              <c:strCache>
                <c:ptCount val="4"/>
                <c:pt idx="0">
                  <c:v>East</c:v>
                </c:pt>
                <c:pt idx="1">
                  <c:v>North</c:v>
                </c:pt>
                <c:pt idx="2">
                  <c:v>South</c:v>
                </c:pt>
                <c:pt idx="3">
                  <c:v>West</c:v>
                </c:pt>
              </c:strCache>
            </c:strRef>
          </c:cat>
          <c:val>
            <c:numRef>
              <c:f>'Pivot table'!$C$33:$C$37</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7873-43D5-B6CE-670B1EAD5F7B}"/>
            </c:ext>
          </c:extLst>
        </c:ser>
        <c:dLbls>
          <c:showLegendKey val="0"/>
          <c:showVal val="0"/>
          <c:showCatName val="0"/>
          <c:showSerName val="0"/>
          <c:showPercent val="0"/>
          <c:showBubbleSize val="0"/>
        </c:dLbls>
        <c:gapWidth val="219"/>
        <c:overlap val="-27"/>
        <c:axId val="1384681583"/>
        <c:axId val="1384682063"/>
      </c:barChart>
      <c:catAx>
        <c:axId val="13846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82063"/>
        <c:crosses val="autoZero"/>
        <c:auto val="1"/>
        <c:lblAlgn val="ctr"/>
        <c:lblOffset val="100"/>
        <c:noMultiLvlLbl val="0"/>
      </c:catAx>
      <c:valAx>
        <c:axId val="1384682063"/>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8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table'!$C$40</c:f>
              <c:strCache>
                <c:ptCount val="1"/>
                <c:pt idx="0">
                  <c:v>Total</c:v>
                </c:pt>
              </c:strCache>
            </c:strRef>
          </c:tx>
          <c:spPr>
            <a:ln w="28575" cap="rnd">
              <a:solidFill>
                <a:schemeClr val="accent1"/>
              </a:solidFill>
              <a:round/>
            </a:ln>
            <a:effectLst/>
          </c:spPr>
          <c:marker>
            <c:symbol val="none"/>
          </c:marker>
          <c:cat>
            <c:strRef>
              <c:f>'Pivot table'!$B$41:$B$47</c:f>
              <c:strCache>
                <c:ptCount val="6"/>
                <c:pt idx="0">
                  <c:v>Keyboard</c:v>
                </c:pt>
                <c:pt idx="1">
                  <c:v>Monitor</c:v>
                </c:pt>
                <c:pt idx="2">
                  <c:v>Mouse</c:v>
                </c:pt>
                <c:pt idx="3">
                  <c:v>Printer</c:v>
                </c:pt>
                <c:pt idx="4">
                  <c:v>Scanner</c:v>
                </c:pt>
                <c:pt idx="5">
                  <c:v>Speaker</c:v>
                </c:pt>
              </c:strCache>
            </c:strRef>
          </c:cat>
          <c:val>
            <c:numRef>
              <c:f>'Pivot table'!$C$41:$C$47</c:f>
              <c:numCache>
                <c:formatCode>0.000</c:formatCode>
                <c:ptCount val="6"/>
                <c:pt idx="0">
                  <c:v>25320</c:v>
                </c:pt>
                <c:pt idx="1">
                  <c:v>339000</c:v>
                </c:pt>
                <c:pt idx="2">
                  <c:v>66150</c:v>
                </c:pt>
                <c:pt idx="3">
                  <c:v>934500</c:v>
                </c:pt>
                <c:pt idx="4">
                  <c:v>352200</c:v>
                </c:pt>
                <c:pt idx="5">
                  <c:v>65400</c:v>
                </c:pt>
              </c:numCache>
            </c:numRef>
          </c:val>
          <c:smooth val="0"/>
          <c:extLst>
            <c:ext xmlns:c16="http://schemas.microsoft.com/office/drawing/2014/chart" uri="{C3380CC4-5D6E-409C-BE32-E72D297353CC}">
              <c16:uniqueId val="{00000000-EFE9-4510-BE8B-B01DAD483A84}"/>
            </c:ext>
          </c:extLst>
        </c:ser>
        <c:dLbls>
          <c:showLegendKey val="0"/>
          <c:showVal val="0"/>
          <c:showCatName val="0"/>
          <c:showSerName val="0"/>
          <c:showPercent val="0"/>
          <c:showBubbleSize val="0"/>
        </c:dLbls>
        <c:smooth val="0"/>
        <c:axId val="1394058815"/>
        <c:axId val="1394059775"/>
      </c:lineChart>
      <c:catAx>
        <c:axId val="139405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59775"/>
        <c:crosses val="autoZero"/>
        <c:auto val="1"/>
        <c:lblAlgn val="ctr"/>
        <c:lblOffset val="100"/>
        <c:noMultiLvlLbl val="0"/>
      </c:catAx>
      <c:valAx>
        <c:axId val="1394059775"/>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05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table'!$C$56</c:f>
              <c:strCache>
                <c:ptCount val="1"/>
                <c:pt idx="0">
                  <c:v>Total</c:v>
                </c:pt>
              </c:strCache>
            </c:strRef>
          </c:tx>
          <c:spPr>
            <a:solidFill>
              <a:schemeClr val="accent1"/>
            </a:solidFill>
            <a:ln>
              <a:noFill/>
            </a:ln>
            <a:effectLst/>
          </c:spPr>
          <c:invertIfNegative val="0"/>
          <c:cat>
            <c:strRef>
              <c:f>'Pivot table'!$B$57:$B$60</c:f>
              <c:strCache>
                <c:ptCount val="3"/>
                <c:pt idx="0">
                  <c:v>Monitor</c:v>
                </c:pt>
                <c:pt idx="1">
                  <c:v>Mouse</c:v>
                </c:pt>
                <c:pt idx="2">
                  <c:v>Printer</c:v>
                </c:pt>
              </c:strCache>
            </c:strRef>
          </c:cat>
          <c:val>
            <c:numRef>
              <c:f>'Pivot table'!$C$57:$C$60</c:f>
              <c:numCache>
                <c:formatCode>0</c:formatCode>
                <c:ptCount val="3"/>
                <c:pt idx="0">
                  <c:v>251</c:v>
                </c:pt>
                <c:pt idx="1">
                  <c:v>319</c:v>
                </c:pt>
                <c:pt idx="2">
                  <c:v>445</c:v>
                </c:pt>
              </c:numCache>
            </c:numRef>
          </c:val>
          <c:extLst>
            <c:ext xmlns:c16="http://schemas.microsoft.com/office/drawing/2014/chart" uri="{C3380CC4-5D6E-409C-BE32-E72D297353CC}">
              <c16:uniqueId val="{00000000-E04E-4CB1-81CE-E3843266CB66}"/>
            </c:ext>
          </c:extLst>
        </c:ser>
        <c:dLbls>
          <c:showLegendKey val="0"/>
          <c:showVal val="0"/>
          <c:showCatName val="0"/>
          <c:showSerName val="0"/>
          <c:showPercent val="0"/>
          <c:showBubbleSize val="0"/>
        </c:dLbls>
        <c:gapWidth val="219"/>
        <c:overlap val="-27"/>
        <c:axId val="1138836271"/>
        <c:axId val="1138829071"/>
      </c:barChart>
      <c:catAx>
        <c:axId val="113883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38829071"/>
        <c:crosses val="autoZero"/>
        <c:auto val="1"/>
        <c:lblAlgn val="ctr"/>
        <c:lblOffset val="100"/>
        <c:noMultiLvlLbl val="0"/>
      </c:catAx>
      <c:valAx>
        <c:axId val="1138829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3883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8011158066905578"/>
          <c:y val="0"/>
          <c:w val="0.47512234910277323"/>
          <c:h val="1"/>
        </c:manualLayout>
      </c:layout>
      <c:pieChart>
        <c:varyColors val="1"/>
        <c:ser>
          <c:idx val="0"/>
          <c:order val="0"/>
          <c:tx>
            <c:strRef>
              <c:f>'Pivot table'!$C$78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7F-4541-9F72-99023D9765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7F-4541-9F72-99023D9765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7F-4541-9F72-99023D9765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7F-4541-9F72-99023D9765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7F-4541-9F72-99023D9765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7F-4541-9F72-99023D97655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table'!$B$79:$B$85</c:f>
              <c:strCache>
                <c:ptCount val="6"/>
                <c:pt idx="0">
                  <c:v>Keyboard</c:v>
                </c:pt>
                <c:pt idx="1">
                  <c:v>Monitor</c:v>
                </c:pt>
                <c:pt idx="2">
                  <c:v>Mouse</c:v>
                </c:pt>
                <c:pt idx="3">
                  <c:v>Printer</c:v>
                </c:pt>
                <c:pt idx="4">
                  <c:v>Scanner</c:v>
                </c:pt>
                <c:pt idx="5">
                  <c:v>Speaker</c:v>
                </c:pt>
              </c:strCache>
            </c:strRef>
          </c:cat>
          <c:val>
            <c:numRef>
              <c:f>'Pivot table'!$C$79:$C$85</c:f>
              <c:numCache>
                <c:formatCode>General</c:formatCode>
                <c:ptCount val="6"/>
                <c:pt idx="0">
                  <c:v>54</c:v>
                </c:pt>
                <c:pt idx="1">
                  <c:v>45</c:v>
                </c:pt>
                <c:pt idx="2">
                  <c:v>80</c:v>
                </c:pt>
                <c:pt idx="3">
                  <c:v>73</c:v>
                </c:pt>
                <c:pt idx="4">
                  <c:v>53</c:v>
                </c:pt>
                <c:pt idx="5">
                  <c:v>61</c:v>
                </c:pt>
              </c:numCache>
            </c:numRef>
          </c:val>
          <c:extLst>
            <c:ext xmlns:c16="http://schemas.microsoft.com/office/drawing/2014/chart" uri="{C3380CC4-5D6E-409C-BE32-E72D297353CC}">
              <c16:uniqueId val="{0000000C-2B7F-4541-9F72-99023D97655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table!PivotTable9</c:name>
    <c:fmtId val="2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table'!$C$91</c:f>
              <c:strCache>
                <c:ptCount val="1"/>
                <c:pt idx="0">
                  <c:v>Total</c:v>
                </c:pt>
              </c:strCache>
            </c:strRef>
          </c:tx>
          <c:spPr>
            <a:ln w="28575" cap="rnd">
              <a:solidFill>
                <a:schemeClr val="accent1"/>
              </a:solidFill>
              <a:round/>
            </a:ln>
            <a:effectLst/>
          </c:spPr>
          <c:marker>
            <c:symbol val="none"/>
          </c:marker>
          <c:cat>
            <c:strRef>
              <c:f>'Pivot table'!$B$92:$B$95</c:f>
              <c:strCache>
                <c:ptCount val="3"/>
                <c:pt idx="0">
                  <c:v>Ajit Kumar</c:v>
                </c:pt>
                <c:pt idx="1">
                  <c:v>Rohit Das</c:v>
                </c:pt>
                <c:pt idx="2">
                  <c:v>Siddhu</c:v>
                </c:pt>
              </c:strCache>
            </c:strRef>
          </c:cat>
          <c:val>
            <c:numRef>
              <c:f>'Pivot table'!$C$92:$C$95</c:f>
              <c:numCache>
                <c:formatCode>General</c:formatCode>
                <c:ptCount val="3"/>
                <c:pt idx="0">
                  <c:v>84</c:v>
                </c:pt>
                <c:pt idx="1">
                  <c:v>84</c:v>
                </c:pt>
                <c:pt idx="2">
                  <c:v>96</c:v>
                </c:pt>
              </c:numCache>
            </c:numRef>
          </c:val>
          <c:smooth val="0"/>
          <c:extLst>
            <c:ext xmlns:c16="http://schemas.microsoft.com/office/drawing/2014/chart" uri="{C3380CC4-5D6E-409C-BE32-E72D297353CC}">
              <c16:uniqueId val="{00000000-564B-4056-AD86-1CEA33A6A818}"/>
            </c:ext>
          </c:extLst>
        </c:ser>
        <c:dLbls>
          <c:showLegendKey val="0"/>
          <c:showVal val="0"/>
          <c:showCatName val="0"/>
          <c:showSerName val="0"/>
          <c:showPercent val="0"/>
          <c:showBubbleSize val="0"/>
        </c:dLbls>
        <c:smooth val="0"/>
        <c:axId val="452211520"/>
        <c:axId val="452217760"/>
      </c:lineChart>
      <c:catAx>
        <c:axId val="4522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7760"/>
        <c:crosses val="autoZero"/>
        <c:auto val="1"/>
        <c:lblAlgn val="ctr"/>
        <c:lblOffset val="100"/>
        <c:noMultiLvlLbl val="0"/>
      </c:catAx>
      <c:valAx>
        <c:axId val="45221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1981627296588"/>
          <c:y val="7.7030812324929976E-2"/>
          <c:w val="0.80789129483814526"/>
          <c:h val="0.76051633251725892"/>
        </c:manualLayout>
      </c:layout>
      <c:barChart>
        <c:barDir val="col"/>
        <c:grouping val="clustered"/>
        <c:varyColors val="0"/>
        <c:ser>
          <c:idx val="0"/>
          <c:order val="0"/>
          <c:tx>
            <c:strRef>
              <c:f>'Pivot table'!$C$97</c:f>
              <c:strCache>
                <c:ptCount val="1"/>
                <c:pt idx="0">
                  <c:v>Total</c:v>
                </c:pt>
              </c:strCache>
            </c:strRef>
          </c:tx>
          <c:spPr>
            <a:solidFill>
              <a:schemeClr val="accent1"/>
            </a:solidFill>
            <a:ln>
              <a:noFill/>
            </a:ln>
            <a:effectLst/>
          </c:spPr>
          <c:invertIfNegative val="0"/>
          <c:cat>
            <c:strRef>
              <c:f>'Pivot table'!$B$98:$B$104</c:f>
              <c:strCache>
                <c:ptCount val="6"/>
                <c:pt idx="0">
                  <c:v>Ajit Kumar</c:v>
                </c:pt>
                <c:pt idx="1">
                  <c:v>Amit</c:v>
                </c:pt>
                <c:pt idx="2">
                  <c:v>Chandu</c:v>
                </c:pt>
                <c:pt idx="3">
                  <c:v>Ramesh</c:v>
                </c:pt>
                <c:pt idx="4">
                  <c:v>Rohit Das</c:v>
                </c:pt>
                <c:pt idx="5">
                  <c:v>Siddhu</c:v>
                </c:pt>
              </c:strCache>
            </c:strRef>
          </c:cat>
          <c:val>
            <c:numRef>
              <c:f>'Pivot table'!$C$98:$C$104</c:f>
              <c:numCache>
                <c:formatCode>0.000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6279-4667-9FE0-A34491B9D681}"/>
            </c:ext>
          </c:extLst>
        </c:ser>
        <c:dLbls>
          <c:showLegendKey val="0"/>
          <c:showVal val="0"/>
          <c:showCatName val="0"/>
          <c:showSerName val="0"/>
          <c:showPercent val="0"/>
          <c:showBubbleSize val="0"/>
        </c:dLbls>
        <c:gapWidth val="219"/>
        <c:overlap val="-27"/>
        <c:axId val="452207200"/>
        <c:axId val="452208160"/>
      </c:barChart>
      <c:catAx>
        <c:axId val="45220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08160"/>
        <c:crosses val="autoZero"/>
        <c:auto val="1"/>
        <c:lblAlgn val="ctr"/>
        <c:lblOffset val="100"/>
        <c:noMultiLvlLbl val="0"/>
      </c:catAx>
      <c:valAx>
        <c:axId val="45220816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0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table'!$C$106</c:f>
              <c:strCache>
                <c:ptCount val="1"/>
                <c:pt idx="0">
                  <c:v>Total</c:v>
                </c:pt>
              </c:strCache>
            </c:strRef>
          </c:tx>
          <c:spPr>
            <a:solidFill>
              <a:schemeClr val="accent1"/>
            </a:solidFill>
            <a:ln>
              <a:noFill/>
            </a:ln>
            <a:effectLst/>
          </c:spPr>
          <c:invertIfNegative val="0"/>
          <c:cat>
            <c:strRef>
              <c:f>'Pivot table'!$B$107:$B$110</c:f>
              <c:strCache>
                <c:ptCount val="3"/>
                <c:pt idx="0">
                  <c:v>Amit</c:v>
                </c:pt>
                <c:pt idx="1">
                  <c:v>Chandu</c:v>
                </c:pt>
                <c:pt idx="2">
                  <c:v>Ramesh</c:v>
                </c:pt>
              </c:strCache>
            </c:strRef>
          </c:cat>
          <c:val>
            <c:numRef>
              <c:f>'Pivot table'!$C$107:$C$110</c:f>
              <c:numCache>
                <c:formatCode>General</c:formatCode>
                <c:ptCount val="3"/>
                <c:pt idx="0">
                  <c:v>34</c:v>
                </c:pt>
                <c:pt idx="1">
                  <c:v>34</c:v>
                </c:pt>
                <c:pt idx="2">
                  <c:v>34</c:v>
                </c:pt>
              </c:numCache>
            </c:numRef>
          </c:val>
          <c:extLst>
            <c:ext xmlns:c16="http://schemas.microsoft.com/office/drawing/2014/chart" uri="{C3380CC4-5D6E-409C-BE32-E72D297353CC}">
              <c16:uniqueId val="{00000000-F249-4C42-BF3B-FA205FAC361C}"/>
            </c:ext>
          </c:extLst>
        </c:ser>
        <c:dLbls>
          <c:showLegendKey val="0"/>
          <c:showVal val="0"/>
          <c:showCatName val="0"/>
          <c:showSerName val="0"/>
          <c:showPercent val="0"/>
          <c:showBubbleSize val="0"/>
        </c:dLbls>
        <c:gapWidth val="182"/>
        <c:axId val="452217280"/>
        <c:axId val="452195200"/>
      </c:barChart>
      <c:catAx>
        <c:axId val="45221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95200"/>
        <c:crosses val="autoZero"/>
        <c:auto val="1"/>
        <c:lblAlgn val="ctr"/>
        <c:lblOffset val="100"/>
        <c:noMultiLvlLbl val="0"/>
      </c:catAx>
      <c:valAx>
        <c:axId val="45219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299710</c:v>
                </c:pt>
                <c:pt idx="1">
                  <c:v>127850</c:v>
                </c:pt>
                <c:pt idx="2">
                  <c:v>88190</c:v>
                </c:pt>
                <c:pt idx="3">
                  <c:v>101150</c:v>
                </c:pt>
                <c:pt idx="4">
                  <c:v>296370</c:v>
                </c:pt>
                <c:pt idx="5">
                  <c:v>423100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127850</c:v>
                </c:pt>
                <c:pt idx="1">
                  <c:v>101150</c:v>
                </c:pt>
                <c:pt idx="2">
                  <c:v>88190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96</c:v>
                </c:pt>
                <c:pt idx="1">
                  <c:v>196</c:v>
                </c:pt>
                <c:pt idx="2">
                  <c:v>191</c:v>
                </c:pt>
                <c:pt idx="3">
                  <c:v>316</c:v>
                </c:pt>
                <c:pt idx="4">
                  <c:v>202</c:v>
                </c:pt>
                <c:pt idx="5">
                  <c:v>181</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Tables'!$A$23:$A$33</c:f>
              <c:strCache>
                <c:ptCount val="10"/>
                <c:pt idx="0">
                  <c:v>Jan</c:v>
                </c:pt>
                <c:pt idx="1">
                  <c:v>Apr</c:v>
                </c:pt>
                <c:pt idx="2">
                  <c:v>May</c:v>
                </c:pt>
                <c:pt idx="3">
                  <c:v>Jun</c:v>
                </c:pt>
                <c:pt idx="4">
                  <c:v>Jul</c:v>
                </c:pt>
                <c:pt idx="5">
                  <c:v>Aug</c:v>
                </c:pt>
                <c:pt idx="6">
                  <c:v>Sep</c:v>
                </c:pt>
                <c:pt idx="7">
                  <c:v>Oct</c:v>
                </c:pt>
                <c:pt idx="8">
                  <c:v>Nov</c:v>
                </c:pt>
                <c:pt idx="9">
                  <c:v>Dec</c:v>
                </c:pt>
              </c:strCache>
            </c:strRef>
          </c:cat>
          <c:val>
            <c:numRef>
              <c:f>'Pivot Tables'!$B$23:$B$33</c:f>
              <c:numCache>
                <c:formatCode>General</c:formatCode>
                <c:ptCount val="10"/>
                <c:pt idx="0">
                  <c:v>7500</c:v>
                </c:pt>
                <c:pt idx="1">
                  <c:v>153530</c:v>
                </c:pt>
                <c:pt idx="2">
                  <c:v>110160</c:v>
                </c:pt>
                <c:pt idx="3">
                  <c:v>118530</c:v>
                </c:pt>
                <c:pt idx="4">
                  <c:v>130100</c:v>
                </c:pt>
                <c:pt idx="5">
                  <c:v>156300</c:v>
                </c:pt>
                <c:pt idx="6">
                  <c:v>223770</c:v>
                </c:pt>
                <c:pt idx="7">
                  <c:v>197350</c:v>
                </c:pt>
                <c:pt idx="8">
                  <c:v>31520</c:v>
                </c:pt>
                <c:pt idx="9">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excel(AutoRecovered)(AutoRecovered).xlsx]Pivot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62AF94CF-8AF0-46DF-8A51-9D8CC11AA859}">
          <cx:dataId val="0"/>
          <cx:layoutPr>
            <cx:aggregation/>
          </cx:layoutPr>
          <cx:axisId val="1"/>
        </cx:series>
        <cx:series layoutId="paretoLine" ownerIdx="0" uniqueId="{514F7558-2620-4AB4-BD50-4449544F6E42}">
          <cx:axisId val="2"/>
        </cx:series>
      </cx:plotAreaRegion>
      <cx:axis id="0">
        <cx:catScaling gapWidth="0"/>
        <cx:tickLabels/>
      </cx:axis>
      <cx:axis id="1">
        <cx:valScaling/>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7EBF3565-7EAF-4DAC-A257-7D04868A0812}">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clusteredColumn" uniqueId="{62AF94CF-8AF0-46DF-8A51-9D8CC11AA859}">
          <cx:dataId val="0"/>
          <cx:layoutPr>
            <cx:aggregation/>
          </cx:layoutPr>
          <cx:axisId val="1"/>
        </cx:series>
        <cx:series layoutId="paretoLine" ownerIdx="0" uniqueId="{514F7558-2620-4AB4-BD50-4449544F6E42}">
          <cx:axisId val="2"/>
        </cx:series>
      </cx:plotAreaRegion>
      <cx:axis id="0">
        <cx:catScaling gapWidth="0"/>
        <cx:tickLabels/>
      </cx:axis>
      <cx:axis id="1">
        <cx:valScaling/>
        <cx:tickLabels/>
      </cx:axis>
      <cx:axis id="2">
        <cx:valScaling max="1" min="0"/>
        <cx:units unit="percentage"/>
        <cx:tickLabels/>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7EBF3565-7EAF-4DAC-A257-7D04868A0812}">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
    <cx:plotArea>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hyperlink" Target="#'Salesman 1'!A1"/><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 Products 1'!A1"/><Relationship Id="rId11" Type="http://schemas.openxmlformats.org/officeDocument/2006/relationships/image" Target="../media/image5.png"/><Relationship Id="rId5" Type="http://schemas.openxmlformats.org/officeDocument/2006/relationships/hyperlink" Target="#'Dashboard 1'!A1"/><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image" Target="../media/image5.png"/><Relationship Id="rId2" Type="http://schemas.openxmlformats.org/officeDocument/2006/relationships/hyperlink" Target="#' Products 1'!A1"/><Relationship Id="rId1" Type="http://schemas.openxmlformats.org/officeDocument/2006/relationships/hyperlink" Target="#'Salesman 1'!A1"/><Relationship Id="rId6" Type="http://schemas.openxmlformats.org/officeDocument/2006/relationships/hyperlink" Target="#'Dashboard 1'!A1"/><Relationship Id="rId5" Type="http://schemas.openxmlformats.org/officeDocument/2006/relationships/chart" Target="../charts/chart11.xml"/><Relationship Id="rId4" Type="http://schemas.microsoft.com/office/2014/relationships/chartEx" Target="../charts/chartEx4.xml"/><Relationship Id="rId9"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Salesman 1'!A1"/><Relationship Id="rId7" Type="http://schemas.openxmlformats.org/officeDocument/2006/relationships/chart" Target="../charts/chart14.xml"/><Relationship Id="rId2" Type="http://schemas.openxmlformats.org/officeDocument/2006/relationships/hyperlink" Target="#'Dashboard 1'!A1"/><Relationship Id="rId1" Type="http://schemas.openxmlformats.org/officeDocument/2006/relationships/hyperlink" Target="#' Products 1'!A1"/><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7.png"/><Relationship Id="rId4" Type="http://schemas.microsoft.com/office/2014/relationships/chartEx" Target="../charts/chartEx5.xml"/><Relationship Id="rId9" Type="http://schemas.openxmlformats.org/officeDocument/2006/relationships/image" Target="../media/image6.svg"/></Relationships>
</file>

<file path=xl/drawings/_rels/drawing5.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Dashboard!A1"/><Relationship Id="rId7" Type="http://schemas.openxmlformats.org/officeDocument/2006/relationships/chart" Target="../charts/chart15.xml"/><Relationship Id="rId2" Type="http://schemas.openxmlformats.org/officeDocument/2006/relationships/image" Target="../media/image10.svg"/><Relationship Id="rId1" Type="http://schemas.openxmlformats.org/officeDocument/2006/relationships/image" Target="../media/image5.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hyperlink" Target="#Dashboard!A1"/><Relationship Id="rId7" Type="http://schemas.openxmlformats.org/officeDocument/2006/relationships/chart" Target="../charts/chart18.xml"/><Relationship Id="rId2" Type="http://schemas.openxmlformats.org/officeDocument/2006/relationships/image" Target="../media/image10.svg"/><Relationship Id="rId1" Type="http://schemas.openxmlformats.org/officeDocument/2006/relationships/image" Target="../media/image5.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788670</xdr:colOff>
      <xdr:row>2</xdr:row>
      <xdr:rowOff>15240</xdr:rowOff>
    </xdr:from>
    <xdr:to>
      <xdr:col>11</xdr:col>
      <xdr:colOff>224790</xdr:colOff>
      <xdr:row>14</xdr:row>
      <xdr:rowOff>15240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03309FF-5656-C688-BF71-A111BAC7A2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1610" y="472440"/>
              <a:ext cx="498348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781050</xdr:colOff>
      <xdr:row>30</xdr:row>
      <xdr:rowOff>220980</xdr:rowOff>
    </xdr:from>
    <xdr:to>
      <xdr:col>10</xdr:col>
      <xdr:colOff>777240</xdr:colOff>
      <xdr:row>37</xdr:row>
      <xdr:rowOff>15240</xdr:rowOff>
    </xdr:to>
    <xdr:graphicFrame macro="">
      <xdr:nvGraphicFramePr>
        <xdr:cNvPr id="7" name="Chart 6">
          <a:extLst>
            <a:ext uri="{FF2B5EF4-FFF2-40B4-BE49-F238E27FC236}">
              <a16:creationId xmlns:a16="http://schemas.microsoft.com/office/drawing/2014/main" id="{2447A1C2-3E78-006D-D10C-7E6B83F24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xdr:colOff>
      <xdr:row>39</xdr:row>
      <xdr:rowOff>0</xdr:rowOff>
    </xdr:from>
    <xdr:to>
      <xdr:col>10</xdr:col>
      <xdr:colOff>769620</xdr:colOff>
      <xdr:row>47</xdr:row>
      <xdr:rowOff>7620</xdr:rowOff>
    </xdr:to>
    <xdr:graphicFrame macro="">
      <xdr:nvGraphicFramePr>
        <xdr:cNvPr id="8" name="Chart 7">
          <a:extLst>
            <a:ext uri="{FF2B5EF4-FFF2-40B4-BE49-F238E27FC236}">
              <a16:creationId xmlns:a16="http://schemas.microsoft.com/office/drawing/2014/main" id="{F54E4205-B88B-BFC3-6C31-C5A0B6539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788670</xdr:colOff>
      <xdr:row>55</xdr:row>
      <xdr:rowOff>0</xdr:rowOff>
    </xdr:from>
    <xdr:to>
      <xdr:col>10</xdr:col>
      <xdr:colOff>605790</xdr:colOff>
      <xdr:row>62</xdr:row>
      <xdr:rowOff>15240</xdr:rowOff>
    </xdr:to>
    <xdr:graphicFrame macro="">
      <xdr:nvGraphicFramePr>
        <xdr:cNvPr id="2" name="Chart 1">
          <a:extLst>
            <a:ext uri="{FF2B5EF4-FFF2-40B4-BE49-F238E27FC236}">
              <a16:creationId xmlns:a16="http://schemas.microsoft.com/office/drawing/2014/main" id="{1A213D00-F8FC-2B4C-3183-A0B71E1F7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xdr:colOff>
      <xdr:row>63</xdr:row>
      <xdr:rowOff>15240</xdr:rowOff>
    </xdr:from>
    <xdr:to>
      <xdr:col>10</xdr:col>
      <xdr:colOff>613410</xdr:colOff>
      <xdr:row>75</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F22014B-8DFE-9E5D-92D2-5DD77909DB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269230" y="1441704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788670</xdr:colOff>
      <xdr:row>76</xdr:row>
      <xdr:rowOff>198120</xdr:rowOff>
    </xdr:from>
    <xdr:to>
      <xdr:col>10</xdr:col>
      <xdr:colOff>605790</xdr:colOff>
      <xdr:row>88</xdr:row>
      <xdr:rowOff>198120</xdr:rowOff>
    </xdr:to>
    <xdr:graphicFrame macro="">
      <xdr:nvGraphicFramePr>
        <xdr:cNvPr id="4" name="Chart 3">
          <a:extLst>
            <a:ext uri="{FF2B5EF4-FFF2-40B4-BE49-F238E27FC236}">
              <a16:creationId xmlns:a16="http://schemas.microsoft.com/office/drawing/2014/main" id="{7383C537-990C-413E-8064-2A9C2F081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750570</xdr:colOff>
      <xdr:row>89</xdr:row>
      <xdr:rowOff>213360</xdr:rowOff>
    </xdr:from>
    <xdr:to>
      <xdr:col>10</xdr:col>
      <xdr:colOff>567690</xdr:colOff>
      <xdr:row>94</xdr:row>
      <xdr:rowOff>182880</xdr:rowOff>
    </xdr:to>
    <xdr:graphicFrame macro="">
      <xdr:nvGraphicFramePr>
        <xdr:cNvPr id="6" name="Chart 5">
          <a:extLst>
            <a:ext uri="{FF2B5EF4-FFF2-40B4-BE49-F238E27FC236}">
              <a16:creationId xmlns:a16="http://schemas.microsoft.com/office/drawing/2014/main" id="{A91871E4-AD9D-0E5F-58B2-2AAE7B07F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788670</xdr:colOff>
      <xdr:row>95</xdr:row>
      <xdr:rowOff>198120</xdr:rowOff>
    </xdr:from>
    <xdr:to>
      <xdr:col>10</xdr:col>
      <xdr:colOff>605790</xdr:colOff>
      <xdr:row>103</xdr:row>
      <xdr:rowOff>182880</xdr:rowOff>
    </xdr:to>
    <xdr:graphicFrame macro="">
      <xdr:nvGraphicFramePr>
        <xdr:cNvPr id="9" name="Chart 8">
          <a:extLst>
            <a:ext uri="{FF2B5EF4-FFF2-40B4-BE49-F238E27FC236}">
              <a16:creationId xmlns:a16="http://schemas.microsoft.com/office/drawing/2014/main" id="{5CB7E7F5-B1A7-7B40-09CE-97495E59B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781050</xdr:colOff>
      <xdr:row>105</xdr:row>
      <xdr:rowOff>0</xdr:rowOff>
    </xdr:from>
    <xdr:to>
      <xdr:col>10</xdr:col>
      <xdr:colOff>598170</xdr:colOff>
      <xdr:row>110</xdr:row>
      <xdr:rowOff>205740</xdr:rowOff>
    </xdr:to>
    <xdr:graphicFrame macro="">
      <xdr:nvGraphicFramePr>
        <xdr:cNvPr id="10" name="Chart 9">
          <a:extLst>
            <a:ext uri="{FF2B5EF4-FFF2-40B4-BE49-F238E27FC236}">
              <a16:creationId xmlns:a16="http://schemas.microsoft.com/office/drawing/2014/main" id="{7B0B8943-5FFF-7C0C-CBC1-1CA619F89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0</xdr:row>
      <xdr:rowOff>121920</xdr:rowOff>
    </xdr:from>
    <xdr:to>
      <xdr:col>17</xdr:col>
      <xdr:colOff>68580</xdr:colOff>
      <xdr:row>27</xdr:row>
      <xdr:rowOff>38100</xdr:rowOff>
    </xdr:to>
    <xdr:sp macro="" textlink="">
      <xdr:nvSpPr>
        <xdr:cNvPr id="2" name="Rectangle: Rounded Corners 1">
          <a:extLst>
            <a:ext uri="{FF2B5EF4-FFF2-40B4-BE49-F238E27FC236}">
              <a16:creationId xmlns:a16="http://schemas.microsoft.com/office/drawing/2014/main" id="{BEE0D6F7-4F2E-562A-6677-1793BA656267}"/>
            </a:ext>
          </a:extLst>
        </xdr:cNvPr>
        <xdr:cNvSpPr/>
      </xdr:nvSpPr>
      <xdr:spPr>
        <a:xfrm>
          <a:off x="167640" y="121920"/>
          <a:ext cx="13373100" cy="6088380"/>
        </a:xfrm>
        <a:prstGeom prst="roundRect">
          <a:avLst>
            <a:gd name="adj" fmla="val 5319"/>
          </a:avLst>
        </a:prstGeom>
        <a:gradFill>
          <a:gsLst>
            <a:gs pos="28000">
              <a:schemeClr val="bg2">
                <a:lumMod val="25000"/>
              </a:schemeClr>
            </a:gs>
            <a:gs pos="72000">
              <a:schemeClr val="accent3">
                <a:lumMod val="51000"/>
                <a:alpha val="68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1</xdr:row>
      <xdr:rowOff>0</xdr:rowOff>
    </xdr:from>
    <xdr:to>
      <xdr:col>16</xdr:col>
      <xdr:colOff>464820</xdr:colOff>
      <xdr:row>26</xdr:row>
      <xdr:rowOff>22860</xdr:rowOff>
    </xdr:to>
    <xdr:sp macro="" textlink="">
      <xdr:nvSpPr>
        <xdr:cNvPr id="3" name="Rectangle: Rounded Corners 2">
          <a:extLst>
            <a:ext uri="{FF2B5EF4-FFF2-40B4-BE49-F238E27FC236}">
              <a16:creationId xmlns:a16="http://schemas.microsoft.com/office/drawing/2014/main" id="{1787731F-27A3-733C-291B-ACDE32CE53E1}"/>
            </a:ext>
          </a:extLst>
        </xdr:cNvPr>
        <xdr:cNvSpPr/>
      </xdr:nvSpPr>
      <xdr:spPr>
        <a:xfrm>
          <a:off x="1851660" y="228600"/>
          <a:ext cx="11292840" cy="5737860"/>
        </a:xfrm>
        <a:prstGeom prst="roundRect">
          <a:avLst>
            <a:gd name="adj" fmla="val 7984"/>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411480</xdr:colOff>
      <xdr:row>3</xdr:row>
      <xdr:rowOff>167640</xdr:rowOff>
    </xdr:from>
    <xdr:to>
      <xdr:col>12</xdr:col>
      <xdr:colOff>114300</xdr:colOff>
      <xdr:row>7</xdr:row>
      <xdr:rowOff>175260</xdr:rowOff>
    </xdr:to>
    <mc:AlternateContent xmlns:mc="http://schemas.openxmlformats.org/markup-compatibility/2006" xmlns:tsle="http://schemas.microsoft.com/office/drawing/2012/timeslicer">
      <mc:Choice Requires="tsle">
        <xdr:graphicFrame macro="">
          <xdr:nvGraphicFramePr>
            <xdr:cNvPr id="4" name="Date 9">
              <a:extLst>
                <a:ext uri="{FF2B5EF4-FFF2-40B4-BE49-F238E27FC236}">
                  <a16:creationId xmlns:a16="http://schemas.microsoft.com/office/drawing/2014/main" id="{9E27D700-EBF5-46DC-A95D-6E5EA8686C93}"/>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2743200" y="853440"/>
              <a:ext cx="688086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281940</xdr:colOff>
      <xdr:row>3</xdr:row>
      <xdr:rowOff>175260</xdr:rowOff>
    </xdr:from>
    <xdr:to>
      <xdr:col>16</xdr:col>
      <xdr:colOff>266700</xdr:colOff>
      <xdr:row>7</xdr:row>
      <xdr:rowOff>190500</xdr:rowOff>
    </xdr:to>
    <mc:AlternateContent xmlns:mc="http://schemas.openxmlformats.org/markup-compatibility/2006" xmlns:a14="http://schemas.microsoft.com/office/drawing/2010/main">
      <mc:Choice Requires="a14">
        <xdr:graphicFrame macro="">
          <xdr:nvGraphicFramePr>
            <xdr:cNvPr id="5" name="Region 9">
              <a:extLst>
                <a:ext uri="{FF2B5EF4-FFF2-40B4-BE49-F238E27FC236}">
                  <a16:creationId xmlns:a16="http://schemas.microsoft.com/office/drawing/2014/main" id="{A942B872-D95D-49A9-BCF4-F62605884FE0}"/>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9791700" y="861060"/>
              <a:ext cx="315468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8</xdr:row>
      <xdr:rowOff>30479</xdr:rowOff>
    </xdr:from>
    <xdr:to>
      <xdr:col>16</xdr:col>
      <xdr:colOff>281940</xdr:colOff>
      <xdr:row>11</xdr:row>
      <xdr:rowOff>15240</xdr:rowOff>
    </xdr:to>
    <mc:AlternateContent xmlns:mc="http://schemas.openxmlformats.org/markup-compatibility/2006" xmlns:a14="http://schemas.microsoft.com/office/drawing/2010/main">
      <mc:Choice Requires="a14">
        <xdr:graphicFrame macro="">
          <xdr:nvGraphicFramePr>
            <xdr:cNvPr id="6" name="Item 9">
              <a:extLst>
                <a:ext uri="{FF2B5EF4-FFF2-40B4-BE49-F238E27FC236}">
                  <a16:creationId xmlns:a16="http://schemas.microsoft.com/office/drawing/2014/main" id="{5CD633D0-5F7A-4D91-897E-0FDBC31B0028}"/>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2743200" y="1859279"/>
              <a:ext cx="10218420" cy="67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731520</xdr:colOff>
      <xdr:row>13</xdr:row>
      <xdr:rowOff>129540</xdr:rowOff>
    </xdr:from>
    <xdr:to>
      <xdr:col>16</xdr:col>
      <xdr:colOff>205740</xdr:colOff>
      <xdr:row>19</xdr:row>
      <xdr:rowOff>45720</xdr:rowOff>
    </xdr:to>
    <xdr:sp macro="" textlink="">
      <xdr:nvSpPr>
        <xdr:cNvPr id="8" name="Rectangle 7">
          <a:extLst>
            <a:ext uri="{FF2B5EF4-FFF2-40B4-BE49-F238E27FC236}">
              <a16:creationId xmlns:a16="http://schemas.microsoft.com/office/drawing/2014/main" id="{25A2BA9C-0877-645B-11D9-FB6D8597C433}"/>
            </a:ext>
          </a:extLst>
        </xdr:cNvPr>
        <xdr:cNvSpPr/>
      </xdr:nvSpPr>
      <xdr:spPr>
        <a:xfrm>
          <a:off x="7831567" y="3159611"/>
          <a:ext cx="4996479" cy="13146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9</xdr:col>
      <xdr:colOff>723900</xdr:colOff>
      <xdr:row>19</xdr:row>
      <xdr:rowOff>137160</xdr:rowOff>
    </xdr:from>
    <xdr:to>
      <xdr:col>16</xdr:col>
      <xdr:colOff>198120</xdr:colOff>
      <xdr:row>25</xdr:row>
      <xdr:rowOff>137160</xdr:rowOff>
    </xdr:to>
    <xdr:sp macro="" textlink="">
      <xdr:nvSpPr>
        <xdr:cNvPr id="9" name="Rectangle 8">
          <a:extLst>
            <a:ext uri="{FF2B5EF4-FFF2-40B4-BE49-F238E27FC236}">
              <a16:creationId xmlns:a16="http://schemas.microsoft.com/office/drawing/2014/main" id="{ECC96E78-7C8E-4863-8EE3-391958E6A338}"/>
            </a:ext>
          </a:extLst>
        </xdr:cNvPr>
        <xdr:cNvSpPr/>
      </xdr:nvSpPr>
      <xdr:spPr>
        <a:xfrm>
          <a:off x="7823947" y="4565725"/>
          <a:ext cx="4996479" cy="13984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502920</xdr:colOff>
      <xdr:row>16</xdr:row>
      <xdr:rowOff>144780</xdr:rowOff>
    </xdr:from>
    <xdr:to>
      <xdr:col>9</xdr:col>
      <xdr:colOff>487680</xdr:colOff>
      <xdr:row>25</xdr:row>
      <xdr:rowOff>129540</xdr:rowOff>
    </xdr:to>
    <xdr:sp macro="" textlink="">
      <xdr:nvSpPr>
        <xdr:cNvPr id="10" name="Rectangle 9">
          <a:extLst>
            <a:ext uri="{FF2B5EF4-FFF2-40B4-BE49-F238E27FC236}">
              <a16:creationId xmlns:a16="http://schemas.microsoft.com/office/drawing/2014/main" id="{5D24AD84-AE77-49F6-8C17-FFCA9654A20D}"/>
            </a:ext>
          </a:extLst>
        </xdr:cNvPr>
        <xdr:cNvSpPr/>
      </xdr:nvSpPr>
      <xdr:spPr>
        <a:xfrm>
          <a:off x="2087880" y="3802380"/>
          <a:ext cx="5532120" cy="20421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419100</xdr:colOff>
      <xdr:row>13</xdr:row>
      <xdr:rowOff>106680</xdr:rowOff>
    </xdr:from>
    <xdr:to>
      <xdr:col>5</xdr:col>
      <xdr:colOff>464820</xdr:colOff>
      <xdr:row>16</xdr:row>
      <xdr:rowOff>38100</xdr:rowOff>
    </xdr:to>
    <xdr:sp macro="" textlink="">
      <xdr:nvSpPr>
        <xdr:cNvPr id="11" name="Rectangle: Rounded Corners 10">
          <a:extLst>
            <a:ext uri="{FF2B5EF4-FFF2-40B4-BE49-F238E27FC236}">
              <a16:creationId xmlns:a16="http://schemas.microsoft.com/office/drawing/2014/main" id="{40A05859-12BD-A0CA-11EE-7EE6452F95B3}"/>
            </a:ext>
          </a:extLst>
        </xdr:cNvPr>
        <xdr:cNvSpPr/>
      </xdr:nvSpPr>
      <xdr:spPr>
        <a:xfrm>
          <a:off x="2004060" y="3078480"/>
          <a:ext cx="2423160" cy="61722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784860</xdr:colOff>
      <xdr:row>13</xdr:row>
      <xdr:rowOff>121920</xdr:rowOff>
    </xdr:from>
    <xdr:to>
      <xdr:col>9</xdr:col>
      <xdr:colOff>464820</xdr:colOff>
      <xdr:row>16</xdr:row>
      <xdr:rowOff>53340</xdr:rowOff>
    </xdr:to>
    <xdr:sp macro="" textlink="">
      <xdr:nvSpPr>
        <xdr:cNvPr id="12" name="Rectangle: Rounded Corners 11">
          <a:extLst>
            <a:ext uri="{FF2B5EF4-FFF2-40B4-BE49-F238E27FC236}">
              <a16:creationId xmlns:a16="http://schemas.microsoft.com/office/drawing/2014/main" id="{BE3580A2-7DE6-48AF-8F04-9A7CBD9A7C51}"/>
            </a:ext>
          </a:extLst>
        </xdr:cNvPr>
        <xdr:cNvSpPr/>
      </xdr:nvSpPr>
      <xdr:spPr>
        <a:xfrm>
          <a:off x="4747260" y="3093720"/>
          <a:ext cx="2849880" cy="61722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731520</xdr:colOff>
      <xdr:row>13</xdr:row>
      <xdr:rowOff>114300</xdr:rowOff>
    </xdr:from>
    <xdr:to>
      <xdr:col>5</xdr:col>
      <xdr:colOff>525780</xdr:colOff>
      <xdr:row>16</xdr:row>
      <xdr:rowOff>45720</xdr:rowOff>
    </xdr:to>
    <xdr:sp macro="" textlink="">
      <xdr:nvSpPr>
        <xdr:cNvPr id="13" name="Rectangle: Rounded Corners 12">
          <a:extLst>
            <a:ext uri="{FF2B5EF4-FFF2-40B4-BE49-F238E27FC236}">
              <a16:creationId xmlns:a16="http://schemas.microsoft.com/office/drawing/2014/main" id="{7AF9EAAE-8965-4971-93E3-1F2DD93F3F34}"/>
            </a:ext>
          </a:extLst>
        </xdr:cNvPr>
        <xdr:cNvSpPr/>
      </xdr:nvSpPr>
      <xdr:spPr>
        <a:xfrm>
          <a:off x="2316480" y="3086100"/>
          <a:ext cx="2171700" cy="6172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266700</xdr:colOff>
      <xdr:row>13</xdr:row>
      <xdr:rowOff>121920</xdr:rowOff>
    </xdr:from>
    <xdr:to>
      <xdr:col>9</xdr:col>
      <xdr:colOff>472440</xdr:colOff>
      <xdr:row>16</xdr:row>
      <xdr:rowOff>76200</xdr:rowOff>
    </xdr:to>
    <xdr:sp macro="" textlink="">
      <xdr:nvSpPr>
        <xdr:cNvPr id="14" name="Rectangle: Rounded Corners 13">
          <a:extLst>
            <a:ext uri="{FF2B5EF4-FFF2-40B4-BE49-F238E27FC236}">
              <a16:creationId xmlns:a16="http://schemas.microsoft.com/office/drawing/2014/main" id="{F6B3AF3C-4638-46E6-AE3D-EA6277EC988D}"/>
            </a:ext>
          </a:extLst>
        </xdr:cNvPr>
        <xdr:cNvSpPr/>
      </xdr:nvSpPr>
      <xdr:spPr>
        <a:xfrm>
          <a:off x="5021580" y="3093720"/>
          <a:ext cx="2583180" cy="6400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655320</xdr:colOff>
      <xdr:row>13</xdr:row>
      <xdr:rowOff>137160</xdr:rowOff>
    </xdr:from>
    <xdr:to>
      <xdr:col>5</xdr:col>
      <xdr:colOff>396240</xdr:colOff>
      <xdr:row>14</xdr:row>
      <xdr:rowOff>160020</xdr:rowOff>
    </xdr:to>
    <xdr:sp macro="" textlink="">
      <xdr:nvSpPr>
        <xdr:cNvPr id="17" name="TextBox 16">
          <a:extLst>
            <a:ext uri="{FF2B5EF4-FFF2-40B4-BE49-F238E27FC236}">
              <a16:creationId xmlns:a16="http://schemas.microsoft.com/office/drawing/2014/main" id="{DD97F643-2BB4-9F0C-EE93-94B708BC7B27}"/>
            </a:ext>
          </a:extLst>
        </xdr:cNvPr>
        <xdr:cNvSpPr txBox="1"/>
      </xdr:nvSpPr>
      <xdr:spPr>
        <a:xfrm>
          <a:off x="3032760" y="3108960"/>
          <a:ext cx="13258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Amount</a:t>
          </a:r>
        </a:p>
      </xdr:txBody>
    </xdr:sp>
    <xdr:clientData/>
  </xdr:twoCellAnchor>
  <xdr:twoCellAnchor editAs="oneCell">
    <xdr:from>
      <xdr:col>3</xdr:col>
      <xdr:colOff>121920</xdr:colOff>
      <xdr:row>14</xdr:row>
      <xdr:rowOff>7620</xdr:rowOff>
    </xdr:from>
    <xdr:to>
      <xdr:col>3</xdr:col>
      <xdr:colOff>632460</xdr:colOff>
      <xdr:row>16</xdr:row>
      <xdr:rowOff>7620</xdr:rowOff>
    </xdr:to>
    <xdr:pic>
      <xdr:nvPicPr>
        <xdr:cNvPr id="19" name="Graphic 18" descr="Rupee">
          <a:extLst>
            <a:ext uri="{FF2B5EF4-FFF2-40B4-BE49-F238E27FC236}">
              <a16:creationId xmlns:a16="http://schemas.microsoft.com/office/drawing/2014/main" id="{7CF97A0F-FD69-298E-F869-C5336D315F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99360" y="3208020"/>
          <a:ext cx="510540" cy="457200"/>
        </a:xfrm>
        <a:prstGeom prst="rect">
          <a:avLst/>
        </a:prstGeom>
      </xdr:spPr>
    </xdr:pic>
    <xdr:clientData/>
  </xdr:twoCellAnchor>
  <xdr:twoCellAnchor>
    <xdr:from>
      <xdr:col>7</xdr:col>
      <xdr:colOff>617220</xdr:colOff>
      <xdr:row>13</xdr:row>
      <xdr:rowOff>144780</xdr:rowOff>
    </xdr:from>
    <xdr:to>
      <xdr:col>9</xdr:col>
      <xdr:colOff>327660</xdr:colOff>
      <xdr:row>14</xdr:row>
      <xdr:rowOff>167640</xdr:rowOff>
    </xdr:to>
    <xdr:sp macro="" textlink="">
      <xdr:nvSpPr>
        <xdr:cNvPr id="21" name="TextBox 20">
          <a:extLst>
            <a:ext uri="{FF2B5EF4-FFF2-40B4-BE49-F238E27FC236}">
              <a16:creationId xmlns:a16="http://schemas.microsoft.com/office/drawing/2014/main" id="{E9D401DF-4294-B541-A603-C4121935280F}"/>
            </a:ext>
          </a:extLst>
        </xdr:cNvPr>
        <xdr:cNvSpPr txBox="1"/>
      </xdr:nvSpPr>
      <xdr:spPr>
        <a:xfrm>
          <a:off x="6164580" y="3116580"/>
          <a:ext cx="12954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Sales</a:t>
          </a:r>
        </a:p>
      </xdr:txBody>
    </xdr:sp>
    <xdr:clientData/>
  </xdr:twoCellAnchor>
  <xdr:twoCellAnchor editAs="oneCell">
    <xdr:from>
      <xdr:col>6</xdr:col>
      <xdr:colOff>426720</xdr:colOff>
      <xdr:row>14</xdr:row>
      <xdr:rowOff>45720</xdr:rowOff>
    </xdr:from>
    <xdr:to>
      <xdr:col>7</xdr:col>
      <xdr:colOff>297180</xdr:colOff>
      <xdr:row>16</xdr:row>
      <xdr:rowOff>38100</xdr:rowOff>
    </xdr:to>
    <xdr:pic>
      <xdr:nvPicPr>
        <xdr:cNvPr id="23" name="Graphic 22" descr="Handshake">
          <a:extLst>
            <a:ext uri="{FF2B5EF4-FFF2-40B4-BE49-F238E27FC236}">
              <a16:creationId xmlns:a16="http://schemas.microsoft.com/office/drawing/2014/main" id="{E58D91D7-55A7-61DE-A843-D9A52257E6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1600" y="3246120"/>
          <a:ext cx="662940" cy="449580"/>
        </a:xfrm>
        <a:prstGeom prst="rect">
          <a:avLst/>
        </a:prstGeom>
      </xdr:spPr>
    </xdr:pic>
    <xdr:clientData/>
  </xdr:twoCellAnchor>
  <xdr:twoCellAnchor>
    <xdr:from>
      <xdr:col>0</xdr:col>
      <xdr:colOff>312420</xdr:colOff>
      <xdr:row>8</xdr:row>
      <xdr:rowOff>53340</xdr:rowOff>
    </xdr:from>
    <xdr:to>
      <xdr:col>2</xdr:col>
      <xdr:colOff>114300</xdr:colOff>
      <xdr:row>9</xdr:row>
      <xdr:rowOff>205740</xdr:rowOff>
    </xdr:to>
    <xdr:sp macro="" textlink="">
      <xdr:nvSpPr>
        <xdr:cNvPr id="24" name="Rectangle: Rounded Corners 23">
          <a:extLst>
            <a:ext uri="{FF2B5EF4-FFF2-40B4-BE49-F238E27FC236}">
              <a16:creationId xmlns:a16="http://schemas.microsoft.com/office/drawing/2014/main" id="{3CC08751-8455-9C92-8E46-E81C14745C75}"/>
            </a:ext>
          </a:extLst>
        </xdr:cNvPr>
        <xdr:cNvSpPr/>
      </xdr:nvSpPr>
      <xdr:spPr>
        <a:xfrm>
          <a:off x="312420" y="1882140"/>
          <a:ext cx="1386840" cy="381000"/>
        </a:xfrm>
        <a:prstGeom prst="roundRect">
          <a:avLst>
            <a:gd name="adj" fmla="val 5000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441960</xdr:colOff>
      <xdr:row>8</xdr:row>
      <xdr:rowOff>121920</xdr:rowOff>
    </xdr:from>
    <xdr:to>
      <xdr:col>1</xdr:col>
      <xdr:colOff>723900</xdr:colOff>
      <xdr:row>9</xdr:row>
      <xdr:rowOff>144780</xdr:rowOff>
    </xdr:to>
    <xdr:sp macro="" textlink="">
      <xdr:nvSpPr>
        <xdr:cNvPr id="25" name="TextBox 24">
          <a:hlinkClick xmlns:r="http://schemas.openxmlformats.org/officeDocument/2006/relationships" r:id="rId5"/>
          <a:extLst>
            <a:ext uri="{FF2B5EF4-FFF2-40B4-BE49-F238E27FC236}">
              <a16:creationId xmlns:a16="http://schemas.microsoft.com/office/drawing/2014/main" id="{E8B2110E-AF45-6125-42E4-051601F207AB}"/>
            </a:ext>
          </a:extLst>
        </xdr:cNvPr>
        <xdr:cNvSpPr txBox="1"/>
      </xdr:nvSpPr>
      <xdr:spPr>
        <a:xfrm>
          <a:off x="441960" y="1950720"/>
          <a:ext cx="10744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DASHBOARD</a:t>
          </a:r>
        </a:p>
      </xdr:txBody>
    </xdr:sp>
    <xdr:clientData/>
  </xdr:twoCellAnchor>
  <xdr:twoCellAnchor>
    <xdr:from>
      <xdr:col>1</xdr:col>
      <xdr:colOff>175260</xdr:colOff>
      <xdr:row>10</xdr:row>
      <xdr:rowOff>167640</xdr:rowOff>
    </xdr:from>
    <xdr:to>
      <xdr:col>2</xdr:col>
      <xdr:colOff>525780</xdr:colOff>
      <xdr:row>12</xdr:row>
      <xdr:rowOff>83820</xdr:rowOff>
    </xdr:to>
    <xdr:sp macro="" textlink="">
      <xdr:nvSpPr>
        <xdr:cNvPr id="26" name="Rectangle: Rounded Corners 25">
          <a:extLst>
            <a:ext uri="{FF2B5EF4-FFF2-40B4-BE49-F238E27FC236}">
              <a16:creationId xmlns:a16="http://schemas.microsoft.com/office/drawing/2014/main" id="{7D4F89DC-FB50-9C41-095C-F836295595B4}"/>
            </a:ext>
          </a:extLst>
        </xdr:cNvPr>
        <xdr:cNvSpPr/>
      </xdr:nvSpPr>
      <xdr:spPr>
        <a:xfrm>
          <a:off x="967740" y="2453640"/>
          <a:ext cx="1143000" cy="3733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472440</xdr:colOff>
      <xdr:row>10</xdr:row>
      <xdr:rowOff>213360</xdr:rowOff>
    </xdr:from>
    <xdr:to>
      <xdr:col>2</xdr:col>
      <xdr:colOff>464820</xdr:colOff>
      <xdr:row>12</xdr:row>
      <xdr:rowOff>30480</xdr:rowOff>
    </xdr:to>
    <xdr:sp macro="" textlink="">
      <xdr:nvSpPr>
        <xdr:cNvPr id="27" name="TextBox 26">
          <a:hlinkClick xmlns:r="http://schemas.openxmlformats.org/officeDocument/2006/relationships" r:id="rId6"/>
          <a:extLst>
            <a:ext uri="{FF2B5EF4-FFF2-40B4-BE49-F238E27FC236}">
              <a16:creationId xmlns:a16="http://schemas.microsoft.com/office/drawing/2014/main" id="{38A53F86-DE75-070E-E890-7A4B84220445}"/>
            </a:ext>
          </a:extLst>
        </xdr:cNvPr>
        <xdr:cNvSpPr txBox="1"/>
      </xdr:nvSpPr>
      <xdr:spPr>
        <a:xfrm>
          <a:off x="472440" y="2499360"/>
          <a:ext cx="1577340" cy="274320"/>
        </a:xfrm>
        <a:prstGeom prst="rect">
          <a:avLst/>
        </a:prstGeom>
        <a:noFill/>
        <a:ln w="9525" cmpd="sng">
          <a:no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PRODUCTS</a:t>
          </a:r>
        </a:p>
      </xdr:txBody>
    </xdr:sp>
    <xdr:clientData/>
  </xdr:twoCellAnchor>
  <xdr:twoCellAnchor>
    <xdr:from>
      <xdr:col>1</xdr:col>
      <xdr:colOff>167640</xdr:colOff>
      <xdr:row>13</xdr:row>
      <xdr:rowOff>30480</xdr:rowOff>
    </xdr:from>
    <xdr:to>
      <xdr:col>2</xdr:col>
      <xdr:colOff>563880</xdr:colOff>
      <xdr:row>14</xdr:row>
      <xdr:rowOff>167640</xdr:rowOff>
    </xdr:to>
    <xdr:sp macro="" textlink="">
      <xdr:nvSpPr>
        <xdr:cNvPr id="28" name="Rectangle: Rounded Corners 27">
          <a:extLst>
            <a:ext uri="{FF2B5EF4-FFF2-40B4-BE49-F238E27FC236}">
              <a16:creationId xmlns:a16="http://schemas.microsoft.com/office/drawing/2014/main" id="{3F6B93AE-3397-5498-38EB-5FE6C0738754}"/>
            </a:ext>
          </a:extLst>
        </xdr:cNvPr>
        <xdr:cNvSpPr/>
      </xdr:nvSpPr>
      <xdr:spPr>
        <a:xfrm>
          <a:off x="960120" y="3002280"/>
          <a:ext cx="1188720" cy="36576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441960</xdr:colOff>
      <xdr:row>13</xdr:row>
      <xdr:rowOff>68580</xdr:rowOff>
    </xdr:from>
    <xdr:to>
      <xdr:col>2</xdr:col>
      <xdr:colOff>403860</xdr:colOff>
      <xdr:row>14</xdr:row>
      <xdr:rowOff>99060</xdr:rowOff>
    </xdr:to>
    <xdr:sp macro="" textlink="">
      <xdr:nvSpPr>
        <xdr:cNvPr id="29" name="TextBox 28">
          <a:hlinkClick xmlns:r="http://schemas.openxmlformats.org/officeDocument/2006/relationships" r:id="rId7"/>
          <a:extLst>
            <a:ext uri="{FF2B5EF4-FFF2-40B4-BE49-F238E27FC236}">
              <a16:creationId xmlns:a16="http://schemas.microsoft.com/office/drawing/2014/main" id="{1D3BFBE3-09CD-DB02-2742-B3D5A9B64FDF}"/>
            </a:ext>
          </a:extLst>
        </xdr:cNvPr>
        <xdr:cNvSpPr txBox="1"/>
      </xdr:nvSpPr>
      <xdr:spPr>
        <a:xfrm>
          <a:off x="441960" y="3040380"/>
          <a:ext cx="154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SALESMANS</a:t>
          </a:r>
        </a:p>
      </xdr:txBody>
    </xdr:sp>
    <xdr:clientData/>
  </xdr:twoCellAnchor>
  <xdr:twoCellAnchor>
    <xdr:from>
      <xdr:col>1</xdr:col>
      <xdr:colOff>152400</xdr:colOff>
      <xdr:row>15</xdr:row>
      <xdr:rowOff>76200</xdr:rowOff>
    </xdr:from>
    <xdr:to>
      <xdr:col>2</xdr:col>
      <xdr:colOff>548640</xdr:colOff>
      <xdr:row>17</xdr:row>
      <xdr:rowOff>22860</xdr:rowOff>
    </xdr:to>
    <xdr:sp macro="" textlink="">
      <xdr:nvSpPr>
        <xdr:cNvPr id="30" name="Rectangle: Rounded Corners 29">
          <a:extLst>
            <a:ext uri="{FF2B5EF4-FFF2-40B4-BE49-F238E27FC236}">
              <a16:creationId xmlns:a16="http://schemas.microsoft.com/office/drawing/2014/main" id="{C2DB7F61-7781-29CD-5F33-02A2D2FCC6C1}"/>
            </a:ext>
          </a:extLst>
        </xdr:cNvPr>
        <xdr:cNvSpPr/>
      </xdr:nvSpPr>
      <xdr:spPr>
        <a:xfrm>
          <a:off x="944880" y="3505200"/>
          <a:ext cx="1188720" cy="40386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10</xdr:row>
      <xdr:rowOff>175260</xdr:rowOff>
    </xdr:from>
    <xdr:to>
      <xdr:col>2</xdr:col>
      <xdr:colOff>114300</xdr:colOff>
      <xdr:row>12</xdr:row>
      <xdr:rowOff>68580</xdr:rowOff>
    </xdr:to>
    <xdr:sp macro="" textlink="">
      <xdr:nvSpPr>
        <xdr:cNvPr id="32" name="Rectangle: Rounded Corners 31">
          <a:extLst>
            <a:ext uri="{FF2B5EF4-FFF2-40B4-BE49-F238E27FC236}">
              <a16:creationId xmlns:a16="http://schemas.microsoft.com/office/drawing/2014/main" id="{CECABBF0-97CC-8D6B-3EF6-FECCFB606631}"/>
            </a:ext>
          </a:extLst>
        </xdr:cNvPr>
        <xdr:cNvSpPr/>
      </xdr:nvSpPr>
      <xdr:spPr>
        <a:xfrm>
          <a:off x="304800" y="2461260"/>
          <a:ext cx="1394460" cy="35052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297180</xdr:colOff>
      <xdr:row>12</xdr:row>
      <xdr:rowOff>205740</xdr:rowOff>
    </xdr:from>
    <xdr:to>
      <xdr:col>2</xdr:col>
      <xdr:colOff>30480</xdr:colOff>
      <xdr:row>14</xdr:row>
      <xdr:rowOff>144780</xdr:rowOff>
    </xdr:to>
    <xdr:sp macro="" textlink="">
      <xdr:nvSpPr>
        <xdr:cNvPr id="33" name="Rectangle: Rounded Corners 32">
          <a:extLst>
            <a:ext uri="{FF2B5EF4-FFF2-40B4-BE49-F238E27FC236}">
              <a16:creationId xmlns:a16="http://schemas.microsoft.com/office/drawing/2014/main" id="{68CA8AF1-629D-9011-0209-FAD210AFB99A}"/>
            </a:ext>
          </a:extLst>
        </xdr:cNvPr>
        <xdr:cNvSpPr/>
      </xdr:nvSpPr>
      <xdr:spPr>
        <a:xfrm>
          <a:off x="297180" y="2948940"/>
          <a:ext cx="1318260" cy="39624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670560</xdr:colOff>
      <xdr:row>18</xdr:row>
      <xdr:rowOff>38100</xdr:rowOff>
    </xdr:from>
    <xdr:to>
      <xdr:col>9</xdr:col>
      <xdr:colOff>480060</xdr:colOff>
      <xdr:row>24</xdr:row>
      <xdr:rowOff>121920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4F9CD5E2-3D34-4071-9530-C8B0A201EE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048000" y="4152900"/>
              <a:ext cx="4564380" cy="1455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556260</xdr:colOff>
      <xdr:row>16</xdr:row>
      <xdr:rowOff>213360</xdr:rowOff>
    </xdr:from>
    <xdr:to>
      <xdr:col>5</xdr:col>
      <xdr:colOff>609600</xdr:colOff>
      <xdr:row>18</xdr:row>
      <xdr:rowOff>7620</xdr:rowOff>
    </xdr:to>
    <xdr:sp macro="" textlink="">
      <xdr:nvSpPr>
        <xdr:cNvPr id="16" name="TextBox 15">
          <a:extLst>
            <a:ext uri="{FF2B5EF4-FFF2-40B4-BE49-F238E27FC236}">
              <a16:creationId xmlns:a16="http://schemas.microsoft.com/office/drawing/2014/main" id="{1C90DBD0-5A04-352C-780D-FEC53D1D9566}"/>
            </a:ext>
          </a:extLst>
        </xdr:cNvPr>
        <xdr:cNvSpPr txBox="1"/>
      </xdr:nvSpPr>
      <xdr:spPr>
        <a:xfrm>
          <a:off x="2922942" y="3942678"/>
          <a:ext cx="1631129" cy="260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 By Month</a:t>
          </a:r>
        </a:p>
      </xdr:txBody>
    </xdr:sp>
    <xdr:clientData/>
  </xdr:twoCellAnchor>
  <xdr:twoCellAnchor>
    <xdr:from>
      <xdr:col>10</xdr:col>
      <xdr:colOff>152400</xdr:colOff>
      <xdr:row>14</xdr:row>
      <xdr:rowOff>205740</xdr:rowOff>
    </xdr:from>
    <xdr:to>
      <xdr:col>16</xdr:col>
      <xdr:colOff>22860</xdr:colOff>
      <xdr:row>18</xdr:row>
      <xdr:rowOff>205740</xdr:rowOff>
    </xdr:to>
    <xdr:graphicFrame macro="">
      <xdr:nvGraphicFramePr>
        <xdr:cNvPr id="20" name="Chart 19">
          <a:extLst>
            <a:ext uri="{FF2B5EF4-FFF2-40B4-BE49-F238E27FC236}">
              <a16:creationId xmlns:a16="http://schemas.microsoft.com/office/drawing/2014/main" id="{D14595B0-F456-45CF-AE9D-A7E46DA6C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152400</xdr:colOff>
      <xdr:row>13</xdr:row>
      <xdr:rowOff>190500</xdr:rowOff>
    </xdr:from>
    <xdr:to>
      <xdr:col>12</xdr:col>
      <xdr:colOff>0</xdr:colOff>
      <xdr:row>14</xdr:row>
      <xdr:rowOff>190500</xdr:rowOff>
    </xdr:to>
    <xdr:sp macro="" textlink="">
      <xdr:nvSpPr>
        <xdr:cNvPr id="22" name="TextBox 21">
          <a:extLst>
            <a:ext uri="{FF2B5EF4-FFF2-40B4-BE49-F238E27FC236}">
              <a16:creationId xmlns:a16="http://schemas.microsoft.com/office/drawing/2014/main" id="{32E84BB0-3B40-43D9-3ABF-BDE7CED63A0E}"/>
            </a:ext>
          </a:extLst>
        </xdr:cNvPr>
        <xdr:cNvSpPr txBox="1"/>
      </xdr:nvSpPr>
      <xdr:spPr>
        <a:xfrm>
          <a:off x="8041341" y="3220571"/>
          <a:ext cx="1425388" cy="2330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 By Region</a:t>
          </a:r>
        </a:p>
      </xdr:txBody>
    </xdr:sp>
    <xdr:clientData/>
  </xdr:twoCellAnchor>
  <xdr:twoCellAnchor>
    <xdr:from>
      <xdr:col>10</xdr:col>
      <xdr:colOff>129540</xdr:colOff>
      <xdr:row>20</xdr:row>
      <xdr:rowOff>152400</xdr:rowOff>
    </xdr:from>
    <xdr:to>
      <xdr:col>16</xdr:col>
      <xdr:colOff>53340</xdr:colOff>
      <xdr:row>25</xdr:row>
      <xdr:rowOff>68580</xdr:rowOff>
    </xdr:to>
    <xdr:graphicFrame macro="">
      <xdr:nvGraphicFramePr>
        <xdr:cNvPr id="35" name="Chart 34">
          <a:extLst>
            <a:ext uri="{FF2B5EF4-FFF2-40B4-BE49-F238E27FC236}">
              <a16:creationId xmlns:a16="http://schemas.microsoft.com/office/drawing/2014/main" id="{EEF8D9F8-FE7E-4CA2-B25B-0C1419F4F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129540</xdr:colOff>
      <xdr:row>19</xdr:row>
      <xdr:rowOff>160020</xdr:rowOff>
    </xdr:from>
    <xdr:to>
      <xdr:col>11</xdr:col>
      <xdr:colOff>662940</xdr:colOff>
      <xdr:row>20</xdr:row>
      <xdr:rowOff>121920</xdr:rowOff>
    </xdr:to>
    <xdr:sp macro="" textlink="">
      <xdr:nvSpPr>
        <xdr:cNvPr id="36" name="TextBox 35">
          <a:extLst>
            <a:ext uri="{FF2B5EF4-FFF2-40B4-BE49-F238E27FC236}">
              <a16:creationId xmlns:a16="http://schemas.microsoft.com/office/drawing/2014/main" id="{D9FA1B0C-C607-7908-7888-8E8B33D2FCE3}"/>
            </a:ext>
          </a:extLst>
        </xdr:cNvPr>
        <xdr:cNvSpPr txBox="1"/>
      </xdr:nvSpPr>
      <xdr:spPr>
        <a:xfrm>
          <a:off x="8018481" y="4588585"/>
          <a:ext cx="1322294" cy="194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 By Products</a:t>
          </a:r>
        </a:p>
      </xdr:txBody>
    </xdr:sp>
    <xdr:clientData/>
  </xdr:twoCellAnchor>
  <xdr:twoCellAnchor>
    <xdr:from>
      <xdr:col>3</xdr:col>
      <xdr:colOff>723900</xdr:colOff>
      <xdr:row>14</xdr:row>
      <xdr:rowOff>160020</xdr:rowOff>
    </xdr:from>
    <xdr:to>
      <xdr:col>5</xdr:col>
      <xdr:colOff>518160</xdr:colOff>
      <xdr:row>16</xdr:row>
      <xdr:rowOff>53340</xdr:rowOff>
    </xdr:to>
    <xdr:sp macro="" textlink="'Pivot table'!C51">
      <xdr:nvSpPr>
        <xdr:cNvPr id="37" name="TextBox 36">
          <a:extLst>
            <a:ext uri="{FF2B5EF4-FFF2-40B4-BE49-F238E27FC236}">
              <a16:creationId xmlns:a16="http://schemas.microsoft.com/office/drawing/2014/main" id="{1C6817A5-4A70-BA57-D754-9DD5CFA527E5}"/>
            </a:ext>
          </a:extLst>
        </xdr:cNvPr>
        <xdr:cNvSpPr txBox="1"/>
      </xdr:nvSpPr>
      <xdr:spPr>
        <a:xfrm>
          <a:off x="3101340" y="3360420"/>
          <a:ext cx="137922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3EDB5A-1357-416F-AC82-56EEBAEB3FEC}" type="TxLink">
            <a:rPr lang="en-US" sz="1400" b="1" i="0" u="none" strike="noStrike">
              <a:solidFill>
                <a:srgbClr val="000000"/>
              </a:solidFill>
              <a:latin typeface="Calibri"/>
              <a:ea typeface="Calibri"/>
              <a:cs typeface="Calibri"/>
            </a:rPr>
            <a:pPr/>
            <a:t>17,82,570</a:t>
          </a:fld>
          <a:endParaRPr lang="en-US" sz="1100" b="1"/>
        </a:p>
      </xdr:txBody>
    </xdr:sp>
    <xdr:clientData/>
  </xdr:twoCellAnchor>
  <xdr:twoCellAnchor>
    <xdr:from>
      <xdr:col>7</xdr:col>
      <xdr:colOff>769620</xdr:colOff>
      <xdr:row>14</xdr:row>
      <xdr:rowOff>129540</xdr:rowOff>
    </xdr:from>
    <xdr:to>
      <xdr:col>9</xdr:col>
      <xdr:colOff>281940</xdr:colOff>
      <xdr:row>15</xdr:row>
      <xdr:rowOff>198120</xdr:rowOff>
    </xdr:to>
    <xdr:sp macro="" textlink="'Pivot table'!C54">
      <xdr:nvSpPr>
        <xdr:cNvPr id="38" name="TextBox 37">
          <a:extLst>
            <a:ext uri="{FF2B5EF4-FFF2-40B4-BE49-F238E27FC236}">
              <a16:creationId xmlns:a16="http://schemas.microsoft.com/office/drawing/2014/main" id="{E3A85ECB-F044-C875-A1C6-BE4C8DA21E63}"/>
            </a:ext>
          </a:extLst>
        </xdr:cNvPr>
        <xdr:cNvSpPr txBox="1"/>
      </xdr:nvSpPr>
      <xdr:spPr>
        <a:xfrm>
          <a:off x="6316980" y="3329940"/>
          <a:ext cx="10972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59C82C-A005-48C5-8EC1-D66FE371D4E2}" type="TxLink">
            <a:rPr lang="en-US" sz="1400" b="1" i="0" u="none" strike="noStrike">
              <a:solidFill>
                <a:srgbClr val="000000"/>
              </a:solidFill>
              <a:latin typeface="Calibri"/>
              <a:ea typeface="Calibri"/>
              <a:cs typeface="Calibri"/>
            </a:rPr>
            <a:pPr/>
            <a:t>366</a:t>
          </a:fld>
          <a:endParaRPr lang="en-US" sz="1100" b="1"/>
        </a:p>
      </xdr:txBody>
    </xdr:sp>
    <xdr:clientData/>
  </xdr:twoCellAnchor>
  <xdr:twoCellAnchor>
    <xdr:from>
      <xdr:col>2</xdr:col>
      <xdr:colOff>434340</xdr:colOff>
      <xdr:row>11</xdr:row>
      <xdr:rowOff>137160</xdr:rowOff>
    </xdr:from>
    <xdr:to>
      <xdr:col>16</xdr:col>
      <xdr:colOff>259080</xdr:colOff>
      <xdr:row>13</xdr:row>
      <xdr:rowOff>15240</xdr:rowOff>
    </xdr:to>
    <xdr:sp macro="" textlink="">
      <xdr:nvSpPr>
        <xdr:cNvPr id="18" name="Rectangle 17">
          <a:extLst>
            <a:ext uri="{FF2B5EF4-FFF2-40B4-BE49-F238E27FC236}">
              <a16:creationId xmlns:a16="http://schemas.microsoft.com/office/drawing/2014/main" id="{29DCE216-EA52-5D7E-CF44-5E56720D9F4B}"/>
            </a:ext>
          </a:extLst>
        </xdr:cNvPr>
        <xdr:cNvSpPr/>
      </xdr:nvSpPr>
      <xdr:spPr>
        <a:xfrm>
          <a:off x="2019300" y="2651760"/>
          <a:ext cx="10919460" cy="33528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b="1">
              <a:solidFill>
                <a:sysClr val="windowText" lastClr="000000"/>
              </a:solidFill>
            </a:rPr>
            <a:t>ANALYTICS</a:t>
          </a:r>
        </a:p>
      </xdr:txBody>
    </xdr:sp>
    <xdr:clientData/>
  </xdr:twoCellAnchor>
  <xdr:twoCellAnchor editAs="oneCell">
    <xdr:from>
      <xdr:col>7</xdr:col>
      <xdr:colOff>83820</xdr:colOff>
      <xdr:row>11</xdr:row>
      <xdr:rowOff>160020</xdr:rowOff>
    </xdr:from>
    <xdr:to>
      <xdr:col>7</xdr:col>
      <xdr:colOff>533400</xdr:colOff>
      <xdr:row>12</xdr:row>
      <xdr:rowOff>220980</xdr:rowOff>
    </xdr:to>
    <xdr:pic>
      <xdr:nvPicPr>
        <xdr:cNvPr id="39" name="Graphic 38" descr="Bar chart">
          <a:extLst>
            <a:ext uri="{FF2B5EF4-FFF2-40B4-BE49-F238E27FC236}">
              <a16:creationId xmlns:a16="http://schemas.microsoft.com/office/drawing/2014/main" id="{B53B3B70-39F3-4077-8581-B1A70051383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631180" y="2674620"/>
          <a:ext cx="449580" cy="289560"/>
        </a:xfrm>
        <a:prstGeom prst="rect">
          <a:avLst/>
        </a:prstGeom>
      </xdr:spPr>
    </xdr:pic>
    <xdr:clientData/>
  </xdr:twoCellAnchor>
  <xdr:twoCellAnchor>
    <xdr:from>
      <xdr:col>0</xdr:col>
      <xdr:colOff>266700</xdr:colOff>
      <xdr:row>1</xdr:row>
      <xdr:rowOff>68580</xdr:rowOff>
    </xdr:from>
    <xdr:to>
      <xdr:col>2</xdr:col>
      <xdr:colOff>144780</xdr:colOff>
      <xdr:row>7</xdr:row>
      <xdr:rowOff>107950</xdr:rowOff>
    </xdr:to>
    <xdr:sp macro="" textlink="">
      <xdr:nvSpPr>
        <xdr:cNvPr id="40" name="Rectangle: Rounded Corners 39">
          <a:extLst>
            <a:ext uri="{FF2B5EF4-FFF2-40B4-BE49-F238E27FC236}">
              <a16:creationId xmlns:a16="http://schemas.microsoft.com/office/drawing/2014/main" id="{0DF76715-E82A-408D-B5EE-443ED4B13DC7}"/>
            </a:ext>
          </a:extLst>
        </xdr:cNvPr>
        <xdr:cNvSpPr/>
      </xdr:nvSpPr>
      <xdr:spPr>
        <a:xfrm>
          <a:off x="266700" y="297180"/>
          <a:ext cx="1463040" cy="141097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259080</xdr:colOff>
      <xdr:row>1</xdr:row>
      <xdr:rowOff>91440</xdr:rowOff>
    </xdr:from>
    <xdr:to>
      <xdr:col>2</xdr:col>
      <xdr:colOff>24129</xdr:colOff>
      <xdr:row>7</xdr:row>
      <xdr:rowOff>57149</xdr:rowOff>
    </xdr:to>
    <xdr:pic>
      <xdr:nvPicPr>
        <xdr:cNvPr id="41" name="Picture 40">
          <a:extLst>
            <a:ext uri="{FF2B5EF4-FFF2-40B4-BE49-F238E27FC236}">
              <a16:creationId xmlns:a16="http://schemas.microsoft.com/office/drawing/2014/main" id="{14860DD2-5AD5-4334-9B0C-EBCA637E6D6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59080" y="320040"/>
          <a:ext cx="1350009" cy="13373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17</xdr:col>
      <xdr:colOff>30480</xdr:colOff>
      <xdr:row>26</xdr:row>
      <xdr:rowOff>190500</xdr:rowOff>
    </xdr:to>
    <xdr:sp macro="" textlink="">
      <xdr:nvSpPr>
        <xdr:cNvPr id="2" name="Rectangle: Rounded Corners 1">
          <a:extLst>
            <a:ext uri="{FF2B5EF4-FFF2-40B4-BE49-F238E27FC236}">
              <a16:creationId xmlns:a16="http://schemas.microsoft.com/office/drawing/2014/main" id="{FF709144-7F76-4880-B995-AFC0CDBA8B04}"/>
            </a:ext>
          </a:extLst>
        </xdr:cNvPr>
        <xdr:cNvSpPr/>
      </xdr:nvSpPr>
      <xdr:spPr>
        <a:xfrm>
          <a:off x="152400" y="152400"/>
          <a:ext cx="13350240" cy="5981700"/>
        </a:xfrm>
        <a:prstGeom prst="roundRect">
          <a:avLst>
            <a:gd name="adj" fmla="val 5319"/>
          </a:avLst>
        </a:prstGeom>
        <a:gradFill>
          <a:gsLst>
            <a:gs pos="28000">
              <a:schemeClr val="bg2">
                <a:lumMod val="25000"/>
              </a:schemeClr>
            </a:gs>
            <a:gs pos="72000">
              <a:schemeClr val="accent3">
                <a:lumMod val="51000"/>
                <a:alpha val="68000"/>
              </a:schemeClr>
            </a:gs>
          </a:gsLst>
          <a:lin ang="5400000" scaled="1"/>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251460</xdr:colOff>
      <xdr:row>1</xdr:row>
      <xdr:rowOff>60960</xdr:rowOff>
    </xdr:from>
    <xdr:to>
      <xdr:col>16</xdr:col>
      <xdr:colOff>464820</xdr:colOff>
      <xdr:row>26</xdr:row>
      <xdr:rowOff>22860</xdr:rowOff>
    </xdr:to>
    <xdr:sp macro="" textlink="">
      <xdr:nvSpPr>
        <xdr:cNvPr id="3" name="Rectangle: Rounded Corners 2">
          <a:extLst>
            <a:ext uri="{FF2B5EF4-FFF2-40B4-BE49-F238E27FC236}">
              <a16:creationId xmlns:a16="http://schemas.microsoft.com/office/drawing/2014/main" id="{CE1642E4-6876-4913-8A3D-86594A4AAD10}"/>
            </a:ext>
          </a:extLst>
        </xdr:cNvPr>
        <xdr:cNvSpPr/>
      </xdr:nvSpPr>
      <xdr:spPr>
        <a:xfrm>
          <a:off x="1836420" y="289560"/>
          <a:ext cx="11308080" cy="5676900"/>
        </a:xfrm>
        <a:prstGeom prst="roundRect">
          <a:avLst>
            <a:gd name="adj" fmla="val 7984"/>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403860</xdr:colOff>
      <xdr:row>3</xdr:row>
      <xdr:rowOff>167640</xdr:rowOff>
    </xdr:from>
    <xdr:to>
      <xdr:col>12</xdr:col>
      <xdr:colOff>114300</xdr:colOff>
      <xdr:row>7</xdr:row>
      <xdr:rowOff>175260</xdr:rowOff>
    </xdr:to>
    <mc:AlternateContent xmlns:mc="http://schemas.openxmlformats.org/markup-compatibility/2006" xmlns:tsle="http://schemas.microsoft.com/office/drawing/2012/timeslicer">
      <mc:Choice Requires="tsle">
        <xdr:graphicFrame macro="">
          <xdr:nvGraphicFramePr>
            <xdr:cNvPr id="4" name="Date 10">
              <a:extLst>
                <a:ext uri="{FF2B5EF4-FFF2-40B4-BE49-F238E27FC236}">
                  <a16:creationId xmlns:a16="http://schemas.microsoft.com/office/drawing/2014/main" id="{A3993C25-3D7F-49E2-A323-A5178D502B6B}"/>
                </a:ext>
              </a:extLst>
            </xdr:cNvPr>
            <xdr:cNvGraphicFramePr/>
          </xdr:nvGraphicFramePr>
          <xdr:xfrm>
            <a:off x="0" y="0"/>
            <a:ext cx="0" cy="0"/>
          </xdr:xfrm>
          <a:graphic>
            <a:graphicData uri="http://schemas.microsoft.com/office/drawing/2012/timeslicer">
              <tsle:timeslicer name="Date 10"/>
            </a:graphicData>
          </a:graphic>
        </xdr:graphicFrame>
      </mc:Choice>
      <mc:Fallback xmlns="">
        <xdr:sp macro="" textlink="">
          <xdr:nvSpPr>
            <xdr:cNvPr id="0" name=""/>
            <xdr:cNvSpPr>
              <a:spLocks noTextEdit="1"/>
            </xdr:cNvSpPr>
          </xdr:nvSpPr>
          <xdr:spPr>
            <a:xfrm>
              <a:off x="2743200" y="853440"/>
              <a:ext cx="688086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281940</xdr:colOff>
      <xdr:row>3</xdr:row>
      <xdr:rowOff>175260</xdr:rowOff>
    </xdr:from>
    <xdr:to>
      <xdr:col>16</xdr:col>
      <xdr:colOff>266700</xdr:colOff>
      <xdr:row>7</xdr:row>
      <xdr:rowOff>190500</xdr:rowOff>
    </xdr:to>
    <mc:AlternateContent xmlns:mc="http://schemas.openxmlformats.org/markup-compatibility/2006" xmlns:a14="http://schemas.microsoft.com/office/drawing/2010/main">
      <mc:Choice Requires="a14">
        <xdr:graphicFrame macro="">
          <xdr:nvGraphicFramePr>
            <xdr:cNvPr id="5" name="Region 10">
              <a:extLst>
                <a:ext uri="{FF2B5EF4-FFF2-40B4-BE49-F238E27FC236}">
                  <a16:creationId xmlns:a16="http://schemas.microsoft.com/office/drawing/2014/main" id="{78119203-8BA4-49B6-B530-E6F54FF4A097}"/>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mlns="">
        <xdr:sp macro="" textlink="">
          <xdr:nvSpPr>
            <xdr:cNvPr id="0" name=""/>
            <xdr:cNvSpPr>
              <a:spLocks noTextEdit="1"/>
            </xdr:cNvSpPr>
          </xdr:nvSpPr>
          <xdr:spPr>
            <a:xfrm>
              <a:off x="9791700" y="861060"/>
              <a:ext cx="315468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8</xdr:row>
      <xdr:rowOff>30479</xdr:rowOff>
    </xdr:from>
    <xdr:to>
      <xdr:col>16</xdr:col>
      <xdr:colOff>281940</xdr:colOff>
      <xdr:row>11</xdr:row>
      <xdr:rowOff>15240</xdr:rowOff>
    </xdr:to>
    <mc:AlternateContent xmlns:mc="http://schemas.openxmlformats.org/markup-compatibility/2006" xmlns:a14="http://schemas.microsoft.com/office/drawing/2010/main">
      <mc:Choice Requires="a14">
        <xdr:graphicFrame macro="">
          <xdr:nvGraphicFramePr>
            <xdr:cNvPr id="6" name="Item 10">
              <a:extLst>
                <a:ext uri="{FF2B5EF4-FFF2-40B4-BE49-F238E27FC236}">
                  <a16:creationId xmlns:a16="http://schemas.microsoft.com/office/drawing/2014/main" id="{1BCE0BF5-883E-4FF4-9CBA-10057D3FC8DD}"/>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mlns="">
        <xdr:sp macro="" textlink="">
          <xdr:nvSpPr>
            <xdr:cNvPr id="0" name=""/>
            <xdr:cNvSpPr>
              <a:spLocks noTextEdit="1"/>
            </xdr:cNvSpPr>
          </xdr:nvSpPr>
          <xdr:spPr>
            <a:xfrm>
              <a:off x="2743200" y="1859279"/>
              <a:ext cx="10218420" cy="67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731520</xdr:colOff>
      <xdr:row>13</xdr:row>
      <xdr:rowOff>129540</xdr:rowOff>
    </xdr:from>
    <xdr:to>
      <xdr:col>16</xdr:col>
      <xdr:colOff>205740</xdr:colOff>
      <xdr:row>19</xdr:row>
      <xdr:rowOff>45720</xdr:rowOff>
    </xdr:to>
    <xdr:sp macro="" textlink="">
      <xdr:nvSpPr>
        <xdr:cNvPr id="8" name="Rectangle 7">
          <a:extLst>
            <a:ext uri="{FF2B5EF4-FFF2-40B4-BE49-F238E27FC236}">
              <a16:creationId xmlns:a16="http://schemas.microsoft.com/office/drawing/2014/main" id="{F6A0DA5A-8601-413F-B86E-0F4349AF2EBD}"/>
            </a:ext>
          </a:extLst>
        </xdr:cNvPr>
        <xdr:cNvSpPr/>
      </xdr:nvSpPr>
      <xdr:spPr>
        <a:xfrm>
          <a:off x="7863840" y="3101340"/>
          <a:ext cx="5021580" cy="12877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9</xdr:col>
      <xdr:colOff>723900</xdr:colOff>
      <xdr:row>19</xdr:row>
      <xdr:rowOff>137160</xdr:rowOff>
    </xdr:from>
    <xdr:to>
      <xdr:col>16</xdr:col>
      <xdr:colOff>198120</xdr:colOff>
      <xdr:row>25</xdr:row>
      <xdr:rowOff>137160</xdr:rowOff>
    </xdr:to>
    <xdr:sp macro="" textlink="">
      <xdr:nvSpPr>
        <xdr:cNvPr id="9" name="Rectangle 8">
          <a:extLst>
            <a:ext uri="{FF2B5EF4-FFF2-40B4-BE49-F238E27FC236}">
              <a16:creationId xmlns:a16="http://schemas.microsoft.com/office/drawing/2014/main" id="{A8C304B0-A219-4997-B720-BB7FD392264C}"/>
            </a:ext>
          </a:extLst>
        </xdr:cNvPr>
        <xdr:cNvSpPr/>
      </xdr:nvSpPr>
      <xdr:spPr>
        <a:xfrm>
          <a:off x="7856220" y="4480560"/>
          <a:ext cx="5021580" cy="1371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548640</xdr:colOff>
      <xdr:row>13</xdr:row>
      <xdr:rowOff>114300</xdr:rowOff>
    </xdr:from>
    <xdr:to>
      <xdr:col>9</xdr:col>
      <xdr:colOff>647700</xdr:colOff>
      <xdr:row>25</xdr:row>
      <xdr:rowOff>129540</xdr:rowOff>
    </xdr:to>
    <xdr:sp macro="" textlink="">
      <xdr:nvSpPr>
        <xdr:cNvPr id="10" name="Rectangle 9">
          <a:extLst>
            <a:ext uri="{FF2B5EF4-FFF2-40B4-BE49-F238E27FC236}">
              <a16:creationId xmlns:a16="http://schemas.microsoft.com/office/drawing/2014/main" id="{D9736DD9-4ADA-49C7-B1CA-B50D1EB660CC}"/>
            </a:ext>
          </a:extLst>
        </xdr:cNvPr>
        <xdr:cNvSpPr/>
      </xdr:nvSpPr>
      <xdr:spPr>
        <a:xfrm>
          <a:off x="2133600" y="3086100"/>
          <a:ext cx="5646420" cy="2758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480061</xdr:colOff>
      <xdr:row>13</xdr:row>
      <xdr:rowOff>182880</xdr:rowOff>
    </xdr:from>
    <xdr:to>
      <xdr:col>4</xdr:col>
      <xdr:colOff>525780</xdr:colOff>
      <xdr:row>14</xdr:row>
      <xdr:rowOff>38100</xdr:rowOff>
    </xdr:to>
    <xdr:sp macro="" textlink="">
      <xdr:nvSpPr>
        <xdr:cNvPr id="15" name="TextBox 14">
          <a:extLst>
            <a:ext uri="{FF2B5EF4-FFF2-40B4-BE49-F238E27FC236}">
              <a16:creationId xmlns:a16="http://schemas.microsoft.com/office/drawing/2014/main" id="{4FC8EEA8-6092-44DB-892B-5FB228D4A16E}"/>
            </a:ext>
          </a:extLst>
        </xdr:cNvPr>
        <xdr:cNvSpPr txBox="1"/>
      </xdr:nvSpPr>
      <xdr:spPr>
        <a:xfrm flipH="1">
          <a:off x="3649981" y="3154680"/>
          <a:ext cx="45719" cy="83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p>
      </xdr:txBody>
    </xdr:sp>
    <xdr:clientData/>
  </xdr:twoCellAnchor>
  <xdr:twoCellAnchor>
    <xdr:from>
      <xdr:col>8</xdr:col>
      <xdr:colOff>289561</xdr:colOff>
      <xdr:row>13</xdr:row>
      <xdr:rowOff>144780</xdr:rowOff>
    </xdr:from>
    <xdr:to>
      <xdr:col>8</xdr:col>
      <xdr:colOff>335280</xdr:colOff>
      <xdr:row>14</xdr:row>
      <xdr:rowOff>38100</xdr:rowOff>
    </xdr:to>
    <xdr:sp macro="" textlink="">
      <xdr:nvSpPr>
        <xdr:cNvPr id="17" name="TextBox 16">
          <a:extLst>
            <a:ext uri="{FF2B5EF4-FFF2-40B4-BE49-F238E27FC236}">
              <a16:creationId xmlns:a16="http://schemas.microsoft.com/office/drawing/2014/main" id="{A32C2669-9EF6-4BE8-8F41-0AB2A9B01B5C}"/>
            </a:ext>
          </a:extLst>
        </xdr:cNvPr>
        <xdr:cNvSpPr txBox="1"/>
      </xdr:nvSpPr>
      <xdr:spPr>
        <a:xfrm flipH="1">
          <a:off x="6629401" y="3116580"/>
          <a:ext cx="45719" cy="121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p>
        <a:p>
          <a:endParaRPr lang="en-US" sz="1200" b="1"/>
        </a:p>
      </xdr:txBody>
    </xdr:sp>
    <xdr:clientData/>
  </xdr:twoCellAnchor>
  <xdr:twoCellAnchor>
    <xdr:from>
      <xdr:col>1</xdr:col>
      <xdr:colOff>160020</xdr:colOff>
      <xdr:row>8</xdr:row>
      <xdr:rowOff>53340</xdr:rowOff>
    </xdr:from>
    <xdr:to>
      <xdr:col>2</xdr:col>
      <xdr:colOff>548640</xdr:colOff>
      <xdr:row>9</xdr:row>
      <xdr:rowOff>205740</xdr:rowOff>
    </xdr:to>
    <xdr:sp macro="" textlink="">
      <xdr:nvSpPr>
        <xdr:cNvPr id="19" name="Rectangle: Rounded Corners 18">
          <a:extLst>
            <a:ext uri="{FF2B5EF4-FFF2-40B4-BE49-F238E27FC236}">
              <a16:creationId xmlns:a16="http://schemas.microsoft.com/office/drawing/2014/main" id="{D21069D7-28F2-4640-890B-C6BE8D594A11}"/>
            </a:ext>
          </a:extLst>
        </xdr:cNvPr>
        <xdr:cNvSpPr/>
      </xdr:nvSpPr>
      <xdr:spPr>
        <a:xfrm>
          <a:off x="952500" y="1882140"/>
          <a:ext cx="1181100" cy="38100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175260</xdr:colOff>
      <xdr:row>10</xdr:row>
      <xdr:rowOff>167640</xdr:rowOff>
    </xdr:from>
    <xdr:to>
      <xdr:col>2</xdr:col>
      <xdr:colOff>525780</xdr:colOff>
      <xdr:row>12</xdr:row>
      <xdr:rowOff>83820</xdr:rowOff>
    </xdr:to>
    <xdr:sp macro="" textlink="">
      <xdr:nvSpPr>
        <xdr:cNvPr id="21" name="Rectangle: Rounded Corners 20">
          <a:extLst>
            <a:ext uri="{FF2B5EF4-FFF2-40B4-BE49-F238E27FC236}">
              <a16:creationId xmlns:a16="http://schemas.microsoft.com/office/drawing/2014/main" id="{5201608A-BD7E-4C39-B425-9CAB510E2264}"/>
            </a:ext>
          </a:extLst>
        </xdr:cNvPr>
        <xdr:cNvSpPr/>
      </xdr:nvSpPr>
      <xdr:spPr>
        <a:xfrm>
          <a:off x="967740" y="2453640"/>
          <a:ext cx="1143000" cy="3733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167640</xdr:colOff>
      <xdr:row>13</xdr:row>
      <xdr:rowOff>30480</xdr:rowOff>
    </xdr:from>
    <xdr:to>
      <xdr:col>2</xdr:col>
      <xdr:colOff>563880</xdr:colOff>
      <xdr:row>14</xdr:row>
      <xdr:rowOff>167640</xdr:rowOff>
    </xdr:to>
    <xdr:sp macro="" textlink="">
      <xdr:nvSpPr>
        <xdr:cNvPr id="23" name="Rectangle: Rounded Corners 22">
          <a:extLst>
            <a:ext uri="{FF2B5EF4-FFF2-40B4-BE49-F238E27FC236}">
              <a16:creationId xmlns:a16="http://schemas.microsoft.com/office/drawing/2014/main" id="{294F06EE-52D1-4596-8DE1-37A69A104657}"/>
            </a:ext>
          </a:extLst>
        </xdr:cNvPr>
        <xdr:cNvSpPr/>
      </xdr:nvSpPr>
      <xdr:spPr>
        <a:xfrm>
          <a:off x="960120" y="3002280"/>
          <a:ext cx="1188720" cy="36576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426720</xdr:colOff>
      <xdr:row>12</xdr:row>
      <xdr:rowOff>205740</xdr:rowOff>
    </xdr:from>
    <xdr:to>
      <xdr:col>1</xdr:col>
      <xdr:colOff>563880</xdr:colOff>
      <xdr:row>14</xdr:row>
      <xdr:rowOff>53340</xdr:rowOff>
    </xdr:to>
    <xdr:sp macro="" textlink="">
      <xdr:nvSpPr>
        <xdr:cNvPr id="24" name="TextBox 23">
          <a:hlinkClick xmlns:r="http://schemas.openxmlformats.org/officeDocument/2006/relationships" r:id="rId1"/>
          <a:extLst>
            <a:ext uri="{FF2B5EF4-FFF2-40B4-BE49-F238E27FC236}">
              <a16:creationId xmlns:a16="http://schemas.microsoft.com/office/drawing/2014/main" id="{7D07C040-9575-4142-8A8A-50B46433517D}"/>
            </a:ext>
          </a:extLst>
        </xdr:cNvPr>
        <xdr:cNvSpPr txBox="1"/>
      </xdr:nvSpPr>
      <xdr:spPr>
        <a:xfrm>
          <a:off x="426720" y="2948940"/>
          <a:ext cx="9296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SALESMANS</a:t>
          </a:r>
        </a:p>
      </xdr:txBody>
    </xdr:sp>
    <xdr:clientData/>
  </xdr:twoCellAnchor>
  <xdr:twoCellAnchor>
    <xdr:from>
      <xdr:col>1</xdr:col>
      <xdr:colOff>152400</xdr:colOff>
      <xdr:row>15</xdr:row>
      <xdr:rowOff>76200</xdr:rowOff>
    </xdr:from>
    <xdr:to>
      <xdr:col>2</xdr:col>
      <xdr:colOff>548640</xdr:colOff>
      <xdr:row>17</xdr:row>
      <xdr:rowOff>22860</xdr:rowOff>
    </xdr:to>
    <xdr:sp macro="" textlink="">
      <xdr:nvSpPr>
        <xdr:cNvPr id="25" name="Rectangle: Rounded Corners 24">
          <a:extLst>
            <a:ext uri="{FF2B5EF4-FFF2-40B4-BE49-F238E27FC236}">
              <a16:creationId xmlns:a16="http://schemas.microsoft.com/office/drawing/2014/main" id="{2E6A849A-2795-4997-A9CD-896F63D0E432}"/>
            </a:ext>
          </a:extLst>
        </xdr:cNvPr>
        <xdr:cNvSpPr/>
      </xdr:nvSpPr>
      <xdr:spPr>
        <a:xfrm>
          <a:off x="944880" y="3505200"/>
          <a:ext cx="1188720" cy="40386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266700</xdr:colOff>
      <xdr:row>15</xdr:row>
      <xdr:rowOff>129540</xdr:rowOff>
    </xdr:from>
    <xdr:to>
      <xdr:col>2</xdr:col>
      <xdr:colOff>365760</xdr:colOff>
      <xdr:row>16</xdr:row>
      <xdr:rowOff>213360</xdr:rowOff>
    </xdr:to>
    <xdr:sp macro="" textlink="">
      <xdr:nvSpPr>
        <xdr:cNvPr id="26" name="TextBox 25">
          <a:extLst>
            <a:ext uri="{FF2B5EF4-FFF2-40B4-BE49-F238E27FC236}">
              <a16:creationId xmlns:a16="http://schemas.microsoft.com/office/drawing/2014/main" id="{C1370344-69D0-4B1A-9DE1-893BDC6C855D}"/>
            </a:ext>
          </a:extLst>
        </xdr:cNvPr>
        <xdr:cNvSpPr txBox="1"/>
      </xdr:nvSpPr>
      <xdr:spPr>
        <a:xfrm>
          <a:off x="1059180" y="3558540"/>
          <a:ext cx="891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solidFill>
              <a:schemeClr val="bg1"/>
            </a:solidFill>
          </a:endParaRPr>
        </a:p>
      </xdr:txBody>
    </xdr:sp>
    <xdr:clientData/>
  </xdr:twoCellAnchor>
  <xdr:twoCellAnchor>
    <xdr:from>
      <xdr:col>0</xdr:col>
      <xdr:colOff>381000</xdr:colOff>
      <xdr:row>10</xdr:row>
      <xdr:rowOff>175260</xdr:rowOff>
    </xdr:from>
    <xdr:to>
      <xdr:col>2</xdr:col>
      <xdr:colOff>45720</xdr:colOff>
      <xdr:row>12</xdr:row>
      <xdr:rowOff>68580</xdr:rowOff>
    </xdr:to>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A834DD36-9A7E-4996-B55B-76D614B58E1C}"/>
            </a:ext>
          </a:extLst>
        </xdr:cNvPr>
        <xdr:cNvSpPr/>
      </xdr:nvSpPr>
      <xdr:spPr>
        <a:xfrm>
          <a:off x="381000" y="2461260"/>
          <a:ext cx="1249680" cy="35052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PRODUCTS</a:t>
          </a:r>
          <a:endParaRPr lang="en-US" sz="1100" b="1"/>
        </a:p>
      </xdr:txBody>
    </xdr:sp>
    <xdr:clientData/>
  </xdr:twoCellAnchor>
  <xdr:twoCellAnchor>
    <xdr:from>
      <xdr:col>0</xdr:col>
      <xdr:colOff>373380</xdr:colOff>
      <xdr:row>12</xdr:row>
      <xdr:rowOff>167640</xdr:rowOff>
    </xdr:from>
    <xdr:to>
      <xdr:col>2</xdr:col>
      <xdr:colOff>45720</xdr:colOff>
      <xdr:row>14</xdr:row>
      <xdr:rowOff>106680</xdr:rowOff>
    </xdr:to>
    <xdr:sp macro="" textlink="">
      <xdr:nvSpPr>
        <xdr:cNvPr id="28" name="Rectangle: Rounded Corners 27">
          <a:extLst>
            <a:ext uri="{FF2B5EF4-FFF2-40B4-BE49-F238E27FC236}">
              <a16:creationId xmlns:a16="http://schemas.microsoft.com/office/drawing/2014/main" id="{5BC35A08-F82D-4DA4-A246-6EE55DD62758}"/>
            </a:ext>
          </a:extLst>
        </xdr:cNvPr>
        <xdr:cNvSpPr/>
      </xdr:nvSpPr>
      <xdr:spPr>
        <a:xfrm>
          <a:off x="373380" y="2910840"/>
          <a:ext cx="1257300" cy="39624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556260</xdr:colOff>
      <xdr:row>14</xdr:row>
      <xdr:rowOff>15240</xdr:rowOff>
    </xdr:from>
    <xdr:to>
      <xdr:col>5</xdr:col>
      <xdr:colOff>609600</xdr:colOff>
      <xdr:row>15</xdr:row>
      <xdr:rowOff>68580</xdr:rowOff>
    </xdr:to>
    <xdr:sp macro="" textlink="">
      <xdr:nvSpPr>
        <xdr:cNvPr id="31" name="TextBox 30">
          <a:extLst>
            <a:ext uri="{FF2B5EF4-FFF2-40B4-BE49-F238E27FC236}">
              <a16:creationId xmlns:a16="http://schemas.microsoft.com/office/drawing/2014/main" id="{1D23A18D-518A-46B5-84E9-0D79C74B9399}"/>
            </a:ext>
          </a:extLst>
        </xdr:cNvPr>
        <xdr:cNvSpPr txBox="1"/>
      </xdr:nvSpPr>
      <xdr:spPr>
        <a:xfrm>
          <a:off x="2933700" y="3215640"/>
          <a:ext cx="16383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 By Products</a:t>
          </a:r>
        </a:p>
      </xdr:txBody>
    </xdr:sp>
    <xdr:clientData/>
  </xdr:twoCellAnchor>
  <xdr:twoCellAnchor>
    <xdr:from>
      <xdr:col>10</xdr:col>
      <xdr:colOff>152400</xdr:colOff>
      <xdr:row>13</xdr:row>
      <xdr:rowOff>190500</xdr:rowOff>
    </xdr:from>
    <xdr:to>
      <xdr:col>12</xdr:col>
      <xdr:colOff>289560</xdr:colOff>
      <xdr:row>14</xdr:row>
      <xdr:rowOff>213360</xdr:rowOff>
    </xdr:to>
    <xdr:sp macro="" textlink="">
      <xdr:nvSpPr>
        <xdr:cNvPr id="33" name="TextBox 32">
          <a:extLst>
            <a:ext uri="{FF2B5EF4-FFF2-40B4-BE49-F238E27FC236}">
              <a16:creationId xmlns:a16="http://schemas.microsoft.com/office/drawing/2014/main" id="{468A049E-6EE5-4A29-862E-8724FF1C1E97}"/>
            </a:ext>
          </a:extLst>
        </xdr:cNvPr>
        <xdr:cNvSpPr txBox="1"/>
      </xdr:nvSpPr>
      <xdr:spPr>
        <a:xfrm>
          <a:off x="8077200" y="3162300"/>
          <a:ext cx="17221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a:t>
          </a:r>
          <a:r>
            <a:rPr lang="en-US" sz="1100" b="1" baseline="0"/>
            <a:t> 3 Selling Products</a:t>
          </a:r>
          <a:endParaRPr lang="en-US" sz="1100" b="1"/>
        </a:p>
      </xdr:txBody>
    </xdr:sp>
    <xdr:clientData/>
  </xdr:twoCellAnchor>
  <xdr:twoCellAnchor>
    <xdr:from>
      <xdr:col>10</xdr:col>
      <xdr:colOff>129540</xdr:colOff>
      <xdr:row>19</xdr:row>
      <xdr:rowOff>160020</xdr:rowOff>
    </xdr:from>
    <xdr:to>
      <xdr:col>12</xdr:col>
      <xdr:colOff>731520</xdr:colOff>
      <xdr:row>20</xdr:row>
      <xdr:rowOff>160020</xdr:rowOff>
    </xdr:to>
    <xdr:sp macro="" textlink="">
      <xdr:nvSpPr>
        <xdr:cNvPr id="35" name="TextBox 34">
          <a:extLst>
            <a:ext uri="{FF2B5EF4-FFF2-40B4-BE49-F238E27FC236}">
              <a16:creationId xmlns:a16="http://schemas.microsoft.com/office/drawing/2014/main" id="{A5CD8486-0834-4B89-A4C7-D782BFAE1B49}"/>
            </a:ext>
          </a:extLst>
        </xdr:cNvPr>
        <xdr:cNvSpPr txBox="1"/>
      </xdr:nvSpPr>
      <xdr:spPr>
        <a:xfrm>
          <a:off x="8054340" y="4503420"/>
          <a:ext cx="218694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a:t>
          </a:r>
          <a:r>
            <a:rPr lang="en-US" sz="1100" b="1" baseline="0"/>
            <a:t> 3 Less Selling Products</a:t>
          </a:r>
          <a:endParaRPr lang="en-US" sz="1100" b="1"/>
        </a:p>
      </xdr:txBody>
    </xdr:sp>
    <xdr:clientData/>
  </xdr:twoCellAnchor>
  <xdr:twoCellAnchor>
    <xdr:from>
      <xdr:col>10</xdr:col>
      <xdr:colOff>228600</xdr:colOff>
      <xdr:row>15</xdr:row>
      <xdr:rowOff>15240</xdr:rowOff>
    </xdr:from>
    <xdr:to>
      <xdr:col>16</xdr:col>
      <xdr:colOff>99060</xdr:colOff>
      <xdr:row>18</xdr:row>
      <xdr:rowOff>190500</xdr:rowOff>
    </xdr:to>
    <xdr:graphicFrame macro="">
      <xdr:nvGraphicFramePr>
        <xdr:cNvPr id="11" name="Chart 10">
          <a:extLst>
            <a:ext uri="{FF2B5EF4-FFF2-40B4-BE49-F238E27FC236}">
              <a16:creationId xmlns:a16="http://schemas.microsoft.com/office/drawing/2014/main" id="{6C368E05-D2C3-4E53-8F81-DD4E3D537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121920</xdr:colOff>
      <xdr:row>20</xdr:row>
      <xdr:rowOff>152400</xdr:rowOff>
    </xdr:from>
    <xdr:to>
      <xdr:col>16</xdr:col>
      <xdr:colOff>15240</xdr:colOff>
      <xdr:row>25</xdr:row>
      <xdr:rowOff>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11F76BFF-F014-4C17-A6E8-7FE4345DFB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046720" y="4724400"/>
              <a:ext cx="4648200" cy="990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586740</xdr:colOff>
      <xdr:row>15</xdr:row>
      <xdr:rowOff>100483</xdr:rowOff>
    </xdr:from>
    <xdr:to>
      <xdr:col>8</xdr:col>
      <xdr:colOff>647700</xdr:colOff>
      <xdr:row>24</xdr:row>
      <xdr:rowOff>114300</xdr:rowOff>
    </xdr:to>
    <xdr:graphicFrame macro="">
      <xdr:nvGraphicFramePr>
        <xdr:cNvPr id="13" name="Chart 12">
          <a:extLst>
            <a:ext uri="{FF2B5EF4-FFF2-40B4-BE49-F238E27FC236}">
              <a16:creationId xmlns:a16="http://schemas.microsoft.com/office/drawing/2014/main" id="{6E153376-26F8-48D6-B1FB-18AB7EDCC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381000</xdr:colOff>
      <xdr:row>8</xdr:row>
      <xdr:rowOff>50242</xdr:rowOff>
    </xdr:from>
    <xdr:to>
      <xdr:col>2</xdr:col>
      <xdr:colOff>15239</xdr:colOff>
      <xdr:row>9</xdr:row>
      <xdr:rowOff>192594</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D8B86A75-E7AA-76DF-0EE5-E270FBC310E7}"/>
            </a:ext>
          </a:extLst>
        </xdr:cNvPr>
        <xdr:cNvSpPr/>
      </xdr:nvSpPr>
      <xdr:spPr>
        <a:xfrm>
          <a:off x="381000" y="1879042"/>
          <a:ext cx="1219199" cy="370952"/>
        </a:xfrm>
        <a:prstGeom prst="roundRect">
          <a:avLst>
            <a:gd name="adj" fmla="val 50000"/>
          </a:avLst>
        </a:prstGeom>
        <a:gradFill>
          <a:gsLst>
            <a:gs pos="28000">
              <a:schemeClr val="bg2">
                <a:lumMod val="25000"/>
              </a:schemeClr>
            </a:gs>
            <a:gs pos="72000">
              <a:schemeClr val="accent3">
                <a:lumMod val="51000"/>
                <a:alpha val="68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DASHBOARD</a:t>
          </a:r>
        </a:p>
      </xdr:txBody>
    </xdr:sp>
    <xdr:clientData/>
  </xdr:twoCellAnchor>
  <xdr:twoCellAnchor>
    <xdr:from>
      <xdr:col>2</xdr:col>
      <xdr:colOff>426720</xdr:colOff>
      <xdr:row>11</xdr:row>
      <xdr:rowOff>100485</xdr:rowOff>
    </xdr:from>
    <xdr:to>
      <xdr:col>16</xdr:col>
      <xdr:colOff>217714</xdr:colOff>
      <xdr:row>13</xdr:row>
      <xdr:rowOff>1</xdr:rowOff>
    </xdr:to>
    <xdr:sp macro="" textlink="">
      <xdr:nvSpPr>
        <xdr:cNvPr id="16" name="Rectangle 15">
          <a:extLst>
            <a:ext uri="{FF2B5EF4-FFF2-40B4-BE49-F238E27FC236}">
              <a16:creationId xmlns:a16="http://schemas.microsoft.com/office/drawing/2014/main" id="{181FBAFA-4DD9-92BE-7B06-CC7C18F8D2C6}"/>
            </a:ext>
          </a:extLst>
        </xdr:cNvPr>
        <xdr:cNvSpPr/>
      </xdr:nvSpPr>
      <xdr:spPr>
        <a:xfrm>
          <a:off x="2011680" y="2615085"/>
          <a:ext cx="10885714" cy="35671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b="1">
              <a:solidFill>
                <a:sysClr val="windowText" lastClr="000000"/>
              </a:solidFill>
            </a:rPr>
            <a:t>ANALYTICS</a:t>
          </a:r>
        </a:p>
      </xdr:txBody>
    </xdr:sp>
    <xdr:clientData/>
  </xdr:twoCellAnchor>
  <xdr:twoCellAnchor editAs="oneCell">
    <xdr:from>
      <xdr:col>7</xdr:col>
      <xdr:colOff>47226</xdr:colOff>
      <xdr:row>11</xdr:row>
      <xdr:rowOff>142352</xdr:rowOff>
    </xdr:from>
    <xdr:to>
      <xdr:col>7</xdr:col>
      <xdr:colOff>404279</xdr:colOff>
      <xdr:row>12</xdr:row>
      <xdr:rowOff>175846</xdr:rowOff>
    </xdr:to>
    <xdr:pic>
      <xdr:nvPicPr>
        <xdr:cNvPr id="18" name="Graphic 17" descr="Bar chart">
          <a:extLst>
            <a:ext uri="{FF2B5EF4-FFF2-40B4-BE49-F238E27FC236}">
              <a16:creationId xmlns:a16="http://schemas.microsoft.com/office/drawing/2014/main" id="{50330D97-5BCE-4405-A0B3-F9516D812B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594586" y="2656952"/>
          <a:ext cx="357053" cy="262094"/>
        </a:xfrm>
        <a:prstGeom prst="rect">
          <a:avLst/>
        </a:prstGeom>
      </xdr:spPr>
    </xdr:pic>
    <xdr:clientData/>
  </xdr:twoCellAnchor>
  <xdr:twoCellAnchor>
    <xdr:from>
      <xdr:col>0</xdr:col>
      <xdr:colOff>419100</xdr:colOff>
      <xdr:row>1</xdr:row>
      <xdr:rowOff>137160</xdr:rowOff>
    </xdr:from>
    <xdr:to>
      <xdr:col>2</xdr:col>
      <xdr:colOff>114300</xdr:colOff>
      <xdr:row>6</xdr:row>
      <xdr:rowOff>167640</xdr:rowOff>
    </xdr:to>
    <xdr:sp macro="" textlink="">
      <xdr:nvSpPr>
        <xdr:cNvPr id="34" name="Rectangle: Rounded Corners 33">
          <a:extLst>
            <a:ext uri="{FF2B5EF4-FFF2-40B4-BE49-F238E27FC236}">
              <a16:creationId xmlns:a16="http://schemas.microsoft.com/office/drawing/2014/main" id="{4A7F0ED0-AA58-4733-915E-5A88F24180F3}"/>
            </a:ext>
          </a:extLst>
        </xdr:cNvPr>
        <xdr:cNvSpPr/>
      </xdr:nvSpPr>
      <xdr:spPr>
        <a:xfrm>
          <a:off x="419100" y="365760"/>
          <a:ext cx="1280160" cy="117348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396240</xdr:colOff>
      <xdr:row>1</xdr:row>
      <xdr:rowOff>99060</xdr:rowOff>
    </xdr:from>
    <xdr:to>
      <xdr:col>2</xdr:col>
      <xdr:colOff>161289</xdr:colOff>
      <xdr:row>7</xdr:row>
      <xdr:rowOff>99060</xdr:rowOff>
    </xdr:to>
    <xdr:pic>
      <xdr:nvPicPr>
        <xdr:cNvPr id="36" name="Picture 35">
          <a:extLst>
            <a:ext uri="{FF2B5EF4-FFF2-40B4-BE49-F238E27FC236}">
              <a16:creationId xmlns:a16="http://schemas.microsoft.com/office/drawing/2014/main" id="{511E3CFB-F6A2-4368-BF09-4AD8C627747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96240" y="327660"/>
          <a:ext cx="1350009"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167640</xdr:colOff>
      <xdr:row>1</xdr:row>
      <xdr:rowOff>0</xdr:rowOff>
    </xdr:from>
    <xdr:to>
      <xdr:col>17</xdr:col>
      <xdr:colOff>68580</xdr:colOff>
      <xdr:row>27</xdr:row>
      <xdr:rowOff>38100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B7B517F-BBAA-416C-B233-17DEEE3C55F7}"/>
            </a:ext>
          </a:extLst>
        </xdr:cNvPr>
        <xdr:cNvSpPr/>
      </xdr:nvSpPr>
      <xdr:spPr>
        <a:xfrm>
          <a:off x="167640" y="228600"/>
          <a:ext cx="13373100" cy="5981700"/>
        </a:xfrm>
        <a:prstGeom prst="roundRect">
          <a:avLst>
            <a:gd name="adj" fmla="val 5319"/>
          </a:avLst>
        </a:prstGeom>
        <a:gradFill>
          <a:gsLst>
            <a:gs pos="28000">
              <a:schemeClr val="bg2">
                <a:lumMod val="25000"/>
              </a:schemeClr>
            </a:gs>
            <a:gs pos="72000">
              <a:schemeClr val="accent3">
                <a:lumMod val="51000"/>
                <a:alpha val="68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167640</xdr:colOff>
      <xdr:row>1</xdr:row>
      <xdr:rowOff>182880</xdr:rowOff>
    </xdr:from>
    <xdr:to>
      <xdr:col>16</xdr:col>
      <xdr:colOff>495300</xdr:colOff>
      <xdr:row>26</xdr:row>
      <xdr:rowOff>60960</xdr:rowOff>
    </xdr:to>
    <xdr:sp macro="" textlink="">
      <xdr:nvSpPr>
        <xdr:cNvPr id="3" name="Rectangle: Rounded Corners 2">
          <a:extLst>
            <a:ext uri="{FF2B5EF4-FFF2-40B4-BE49-F238E27FC236}">
              <a16:creationId xmlns:a16="http://schemas.microsoft.com/office/drawing/2014/main" id="{970ADEF3-B9D2-47AB-8F9E-EE09B2B1CFFF}"/>
            </a:ext>
          </a:extLst>
        </xdr:cNvPr>
        <xdr:cNvSpPr/>
      </xdr:nvSpPr>
      <xdr:spPr>
        <a:xfrm>
          <a:off x="1752600" y="411480"/>
          <a:ext cx="11422380" cy="5593080"/>
        </a:xfrm>
        <a:prstGeom prst="roundRect">
          <a:avLst>
            <a:gd name="adj" fmla="val 7984"/>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358140</xdr:colOff>
      <xdr:row>3</xdr:row>
      <xdr:rowOff>167640</xdr:rowOff>
    </xdr:from>
    <xdr:to>
      <xdr:col>12</xdr:col>
      <xdr:colOff>114300</xdr:colOff>
      <xdr:row>7</xdr:row>
      <xdr:rowOff>175260</xdr:rowOff>
    </xdr:to>
    <mc:AlternateContent xmlns:mc="http://schemas.openxmlformats.org/markup-compatibility/2006" xmlns:tsle="http://schemas.microsoft.com/office/drawing/2012/timeslicer">
      <mc:Choice Requires="tsle">
        <xdr:graphicFrame macro="">
          <xdr:nvGraphicFramePr>
            <xdr:cNvPr id="4" name="Date 11">
              <a:extLst>
                <a:ext uri="{FF2B5EF4-FFF2-40B4-BE49-F238E27FC236}">
                  <a16:creationId xmlns:a16="http://schemas.microsoft.com/office/drawing/2014/main" id="{E9AA4941-1071-437F-B71E-A72C18F916E3}"/>
                </a:ext>
              </a:extLst>
            </xdr:cNvPr>
            <xdr:cNvGraphicFramePr/>
          </xdr:nvGraphicFramePr>
          <xdr:xfrm>
            <a:off x="0" y="0"/>
            <a:ext cx="0" cy="0"/>
          </xdr:xfrm>
          <a:graphic>
            <a:graphicData uri="http://schemas.microsoft.com/office/drawing/2012/timeslicer">
              <tsle:timeslicer name="Date 11"/>
            </a:graphicData>
          </a:graphic>
        </xdr:graphicFrame>
      </mc:Choice>
      <mc:Fallback xmlns="">
        <xdr:sp macro="" textlink="">
          <xdr:nvSpPr>
            <xdr:cNvPr id="0" name=""/>
            <xdr:cNvSpPr>
              <a:spLocks noTextEdit="1"/>
            </xdr:cNvSpPr>
          </xdr:nvSpPr>
          <xdr:spPr>
            <a:xfrm>
              <a:off x="2743200" y="853440"/>
              <a:ext cx="688086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281940</xdr:colOff>
      <xdr:row>3</xdr:row>
      <xdr:rowOff>175260</xdr:rowOff>
    </xdr:from>
    <xdr:to>
      <xdr:col>16</xdr:col>
      <xdr:colOff>266700</xdr:colOff>
      <xdr:row>7</xdr:row>
      <xdr:rowOff>190500</xdr:rowOff>
    </xdr:to>
    <mc:AlternateContent xmlns:mc="http://schemas.openxmlformats.org/markup-compatibility/2006" xmlns:a14="http://schemas.microsoft.com/office/drawing/2010/main">
      <mc:Choice Requires="a14">
        <xdr:graphicFrame macro="">
          <xdr:nvGraphicFramePr>
            <xdr:cNvPr id="5" name="Region 11">
              <a:extLst>
                <a:ext uri="{FF2B5EF4-FFF2-40B4-BE49-F238E27FC236}">
                  <a16:creationId xmlns:a16="http://schemas.microsoft.com/office/drawing/2014/main" id="{E8CA14FD-E948-4F1C-8561-BFC714EB1471}"/>
                </a:ext>
              </a:extLst>
            </xdr:cNvPr>
            <xdr:cNvGraphicFramePr/>
          </xdr:nvGraphicFramePr>
          <xdr:xfrm>
            <a:off x="0" y="0"/>
            <a:ext cx="0" cy="0"/>
          </xdr:xfrm>
          <a:graphic>
            <a:graphicData uri="http://schemas.microsoft.com/office/drawing/2010/slicer">
              <sle:slicer xmlns:sle="http://schemas.microsoft.com/office/drawing/2010/slicer" name="Region 11"/>
            </a:graphicData>
          </a:graphic>
        </xdr:graphicFrame>
      </mc:Choice>
      <mc:Fallback xmlns="">
        <xdr:sp macro="" textlink="">
          <xdr:nvSpPr>
            <xdr:cNvPr id="0" name=""/>
            <xdr:cNvSpPr>
              <a:spLocks noTextEdit="1"/>
            </xdr:cNvSpPr>
          </xdr:nvSpPr>
          <xdr:spPr>
            <a:xfrm>
              <a:off x="9791700" y="861060"/>
              <a:ext cx="315468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350520</xdr:colOff>
      <xdr:row>8</xdr:row>
      <xdr:rowOff>30479</xdr:rowOff>
    </xdr:from>
    <xdr:to>
      <xdr:col>16</xdr:col>
      <xdr:colOff>281940</xdr:colOff>
      <xdr:row>11</xdr:row>
      <xdr:rowOff>15240</xdr:rowOff>
    </xdr:to>
    <mc:AlternateContent xmlns:mc="http://schemas.openxmlformats.org/markup-compatibility/2006" xmlns:a14="http://schemas.microsoft.com/office/drawing/2010/main">
      <mc:Choice Requires="a14">
        <xdr:graphicFrame macro="">
          <xdr:nvGraphicFramePr>
            <xdr:cNvPr id="6" name="Item 11">
              <a:extLst>
                <a:ext uri="{FF2B5EF4-FFF2-40B4-BE49-F238E27FC236}">
                  <a16:creationId xmlns:a16="http://schemas.microsoft.com/office/drawing/2014/main" id="{84D34340-7A5F-4ED1-9698-A757659CF73C}"/>
                </a:ext>
              </a:extLst>
            </xdr:cNvPr>
            <xdr:cNvGraphicFramePr/>
          </xdr:nvGraphicFramePr>
          <xdr:xfrm>
            <a:off x="0" y="0"/>
            <a:ext cx="0" cy="0"/>
          </xdr:xfrm>
          <a:graphic>
            <a:graphicData uri="http://schemas.microsoft.com/office/drawing/2010/slicer">
              <sle:slicer xmlns:sle="http://schemas.microsoft.com/office/drawing/2010/slicer" name="Item 11"/>
            </a:graphicData>
          </a:graphic>
        </xdr:graphicFrame>
      </mc:Choice>
      <mc:Fallback xmlns="">
        <xdr:sp macro="" textlink="">
          <xdr:nvSpPr>
            <xdr:cNvPr id="0" name=""/>
            <xdr:cNvSpPr>
              <a:spLocks noTextEdit="1"/>
            </xdr:cNvSpPr>
          </xdr:nvSpPr>
          <xdr:spPr>
            <a:xfrm>
              <a:off x="2743200" y="1859279"/>
              <a:ext cx="10218420" cy="67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586740</xdr:colOff>
      <xdr:row>13</xdr:row>
      <xdr:rowOff>129540</xdr:rowOff>
    </xdr:from>
    <xdr:to>
      <xdr:col>16</xdr:col>
      <xdr:colOff>205740</xdr:colOff>
      <xdr:row>19</xdr:row>
      <xdr:rowOff>45720</xdr:rowOff>
    </xdr:to>
    <xdr:sp macro="" textlink="">
      <xdr:nvSpPr>
        <xdr:cNvPr id="8" name="Rectangle 7">
          <a:extLst>
            <a:ext uri="{FF2B5EF4-FFF2-40B4-BE49-F238E27FC236}">
              <a16:creationId xmlns:a16="http://schemas.microsoft.com/office/drawing/2014/main" id="{849B4FE7-879D-4882-8469-AAA61C845940}"/>
            </a:ext>
          </a:extLst>
        </xdr:cNvPr>
        <xdr:cNvSpPr/>
      </xdr:nvSpPr>
      <xdr:spPr>
        <a:xfrm>
          <a:off x="7719060" y="3101340"/>
          <a:ext cx="5166360" cy="12877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9</xdr:col>
      <xdr:colOff>617220</xdr:colOff>
      <xdr:row>19</xdr:row>
      <xdr:rowOff>137160</xdr:rowOff>
    </xdr:from>
    <xdr:to>
      <xdr:col>16</xdr:col>
      <xdr:colOff>198120</xdr:colOff>
      <xdr:row>25</xdr:row>
      <xdr:rowOff>137160</xdr:rowOff>
    </xdr:to>
    <xdr:sp macro="" textlink="">
      <xdr:nvSpPr>
        <xdr:cNvPr id="9" name="Rectangle 8">
          <a:extLst>
            <a:ext uri="{FF2B5EF4-FFF2-40B4-BE49-F238E27FC236}">
              <a16:creationId xmlns:a16="http://schemas.microsoft.com/office/drawing/2014/main" id="{AF9F709F-BF61-4F77-A1EA-E68578E35927}"/>
            </a:ext>
          </a:extLst>
        </xdr:cNvPr>
        <xdr:cNvSpPr/>
      </xdr:nvSpPr>
      <xdr:spPr>
        <a:xfrm>
          <a:off x="7749540" y="4480560"/>
          <a:ext cx="5128260" cy="1371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464820</xdr:colOff>
      <xdr:row>13</xdr:row>
      <xdr:rowOff>121920</xdr:rowOff>
    </xdr:from>
    <xdr:to>
      <xdr:col>9</xdr:col>
      <xdr:colOff>502920</xdr:colOff>
      <xdr:row>25</xdr:row>
      <xdr:rowOff>137160</xdr:rowOff>
    </xdr:to>
    <xdr:sp macro="" textlink="">
      <xdr:nvSpPr>
        <xdr:cNvPr id="10" name="Rectangle 9">
          <a:extLst>
            <a:ext uri="{FF2B5EF4-FFF2-40B4-BE49-F238E27FC236}">
              <a16:creationId xmlns:a16="http://schemas.microsoft.com/office/drawing/2014/main" id="{43978CB0-B3D2-4B5C-ACA4-C54E77798033}"/>
            </a:ext>
          </a:extLst>
        </xdr:cNvPr>
        <xdr:cNvSpPr/>
      </xdr:nvSpPr>
      <xdr:spPr>
        <a:xfrm>
          <a:off x="2049780" y="3093720"/>
          <a:ext cx="5585460" cy="2758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8</xdr:row>
      <xdr:rowOff>53340</xdr:rowOff>
    </xdr:from>
    <xdr:to>
      <xdr:col>2</xdr:col>
      <xdr:colOff>0</xdr:colOff>
      <xdr:row>9</xdr:row>
      <xdr:rowOff>205740</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F6FA5C52-34A3-4AF3-9942-2B734B49851A}"/>
            </a:ext>
          </a:extLst>
        </xdr:cNvPr>
        <xdr:cNvSpPr/>
      </xdr:nvSpPr>
      <xdr:spPr>
        <a:xfrm>
          <a:off x="304800" y="1882140"/>
          <a:ext cx="1280160" cy="381000"/>
        </a:xfrm>
        <a:prstGeom prst="roundRect">
          <a:avLst>
            <a:gd name="adj" fmla="val 50000"/>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480060</xdr:colOff>
      <xdr:row>8</xdr:row>
      <xdr:rowOff>121920</xdr:rowOff>
    </xdr:from>
    <xdr:to>
      <xdr:col>2</xdr:col>
      <xdr:colOff>487680</xdr:colOff>
      <xdr:row>9</xdr:row>
      <xdr:rowOff>144780</xdr:rowOff>
    </xdr:to>
    <xdr:sp macro="" textlink="">
      <xdr:nvSpPr>
        <xdr:cNvPr id="20" name="TextBox 19">
          <a:extLst>
            <a:ext uri="{FF2B5EF4-FFF2-40B4-BE49-F238E27FC236}">
              <a16:creationId xmlns:a16="http://schemas.microsoft.com/office/drawing/2014/main" id="{3983BC57-C3A7-43A7-8F7D-E5072C1DD2BA}"/>
            </a:ext>
          </a:extLst>
        </xdr:cNvPr>
        <xdr:cNvSpPr txBox="1"/>
      </xdr:nvSpPr>
      <xdr:spPr>
        <a:xfrm>
          <a:off x="480060" y="1950720"/>
          <a:ext cx="15925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DASHBOARD</a:t>
          </a:r>
        </a:p>
      </xdr:txBody>
    </xdr:sp>
    <xdr:clientData/>
  </xdr:twoCellAnchor>
  <xdr:twoCellAnchor>
    <xdr:from>
      <xdr:col>1</xdr:col>
      <xdr:colOff>175260</xdr:colOff>
      <xdr:row>10</xdr:row>
      <xdr:rowOff>167640</xdr:rowOff>
    </xdr:from>
    <xdr:to>
      <xdr:col>2</xdr:col>
      <xdr:colOff>525780</xdr:colOff>
      <xdr:row>12</xdr:row>
      <xdr:rowOff>83820</xdr:rowOff>
    </xdr:to>
    <xdr:sp macro="" textlink="">
      <xdr:nvSpPr>
        <xdr:cNvPr id="21" name="Rectangle: Rounded Corners 20">
          <a:extLst>
            <a:ext uri="{FF2B5EF4-FFF2-40B4-BE49-F238E27FC236}">
              <a16:creationId xmlns:a16="http://schemas.microsoft.com/office/drawing/2014/main" id="{B04BAD22-A8E9-486C-870C-E63E7F815C8B}"/>
            </a:ext>
          </a:extLst>
        </xdr:cNvPr>
        <xdr:cNvSpPr/>
      </xdr:nvSpPr>
      <xdr:spPr>
        <a:xfrm>
          <a:off x="967740" y="2453640"/>
          <a:ext cx="1143000" cy="3733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10</xdr:row>
      <xdr:rowOff>213360</xdr:rowOff>
    </xdr:from>
    <xdr:to>
      <xdr:col>2</xdr:col>
      <xdr:colOff>464820</xdr:colOff>
      <xdr:row>12</xdr:row>
      <xdr:rowOff>30480</xdr:rowOff>
    </xdr:to>
    <xdr:sp macro="" textlink="">
      <xdr:nvSpPr>
        <xdr:cNvPr id="22" name="TextBox 21">
          <a:extLst>
            <a:ext uri="{FF2B5EF4-FFF2-40B4-BE49-F238E27FC236}">
              <a16:creationId xmlns:a16="http://schemas.microsoft.com/office/drawing/2014/main" id="{643DB117-4AE8-4E80-A52E-DD7B5C168FB2}"/>
            </a:ext>
          </a:extLst>
        </xdr:cNvPr>
        <xdr:cNvSpPr txBox="1"/>
      </xdr:nvSpPr>
      <xdr:spPr>
        <a:xfrm>
          <a:off x="457200" y="2499360"/>
          <a:ext cx="1592580" cy="274320"/>
        </a:xfrm>
        <a:prstGeom prst="rect">
          <a:avLst/>
        </a:prstGeom>
        <a:noFill/>
        <a:ln w="9525" cmpd="sng">
          <a:no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PRODUCTS</a:t>
          </a:r>
        </a:p>
      </xdr:txBody>
    </xdr:sp>
    <xdr:clientData/>
  </xdr:twoCellAnchor>
  <xdr:twoCellAnchor>
    <xdr:from>
      <xdr:col>1</xdr:col>
      <xdr:colOff>167640</xdr:colOff>
      <xdr:row>13</xdr:row>
      <xdr:rowOff>30480</xdr:rowOff>
    </xdr:from>
    <xdr:to>
      <xdr:col>2</xdr:col>
      <xdr:colOff>563880</xdr:colOff>
      <xdr:row>14</xdr:row>
      <xdr:rowOff>167640</xdr:rowOff>
    </xdr:to>
    <xdr:sp macro="" textlink="">
      <xdr:nvSpPr>
        <xdr:cNvPr id="23" name="Rectangle: Rounded Corners 22">
          <a:extLst>
            <a:ext uri="{FF2B5EF4-FFF2-40B4-BE49-F238E27FC236}">
              <a16:creationId xmlns:a16="http://schemas.microsoft.com/office/drawing/2014/main" id="{8684FF1A-55CF-4A33-BABA-8A36B819D4CC}"/>
            </a:ext>
          </a:extLst>
        </xdr:cNvPr>
        <xdr:cNvSpPr/>
      </xdr:nvSpPr>
      <xdr:spPr>
        <a:xfrm>
          <a:off x="960120" y="3002280"/>
          <a:ext cx="1188720" cy="36576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15</xdr:row>
      <xdr:rowOff>76200</xdr:rowOff>
    </xdr:from>
    <xdr:to>
      <xdr:col>2</xdr:col>
      <xdr:colOff>548640</xdr:colOff>
      <xdr:row>17</xdr:row>
      <xdr:rowOff>22860</xdr:rowOff>
    </xdr:to>
    <xdr:sp macro="" textlink="">
      <xdr:nvSpPr>
        <xdr:cNvPr id="25" name="Rectangle: Rounded Corners 24">
          <a:extLst>
            <a:ext uri="{FF2B5EF4-FFF2-40B4-BE49-F238E27FC236}">
              <a16:creationId xmlns:a16="http://schemas.microsoft.com/office/drawing/2014/main" id="{571F97B4-22A2-47A7-8466-AF418FA383D6}"/>
            </a:ext>
          </a:extLst>
        </xdr:cNvPr>
        <xdr:cNvSpPr/>
      </xdr:nvSpPr>
      <xdr:spPr>
        <a:xfrm>
          <a:off x="944880" y="3505200"/>
          <a:ext cx="1188720" cy="40386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289560</xdr:colOff>
      <xdr:row>10</xdr:row>
      <xdr:rowOff>175260</xdr:rowOff>
    </xdr:from>
    <xdr:to>
      <xdr:col>1</xdr:col>
      <xdr:colOff>754380</xdr:colOff>
      <xdr:row>12</xdr:row>
      <xdr:rowOff>68580</xdr:rowOff>
    </xdr:to>
    <xdr:sp macro="" textlink="">
      <xdr:nvSpPr>
        <xdr:cNvPr id="27" name="Rectangle: Rounded Corners 26">
          <a:extLst>
            <a:ext uri="{FF2B5EF4-FFF2-40B4-BE49-F238E27FC236}">
              <a16:creationId xmlns:a16="http://schemas.microsoft.com/office/drawing/2014/main" id="{F16342A3-EB72-4BE9-A5FA-84DB0CA073EE}"/>
            </a:ext>
          </a:extLst>
        </xdr:cNvPr>
        <xdr:cNvSpPr/>
      </xdr:nvSpPr>
      <xdr:spPr>
        <a:xfrm>
          <a:off x="289560" y="2461260"/>
          <a:ext cx="1257300" cy="350520"/>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259080</xdr:colOff>
      <xdr:row>13</xdr:row>
      <xdr:rowOff>15240</xdr:rowOff>
    </xdr:from>
    <xdr:to>
      <xdr:col>2</xdr:col>
      <xdr:colOff>7620</xdr:colOff>
      <xdr:row>14</xdr:row>
      <xdr:rowOff>182880</xdr:rowOff>
    </xdr:to>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054F34CC-4581-451B-9363-4FC53BF30A45}"/>
            </a:ext>
          </a:extLst>
        </xdr:cNvPr>
        <xdr:cNvSpPr/>
      </xdr:nvSpPr>
      <xdr:spPr>
        <a:xfrm>
          <a:off x="259080" y="2987040"/>
          <a:ext cx="1333500" cy="39624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SALESMAN</a:t>
          </a:r>
        </a:p>
      </xdr:txBody>
    </xdr:sp>
    <xdr:clientData/>
  </xdr:twoCellAnchor>
  <xdr:twoCellAnchor>
    <xdr:from>
      <xdr:col>3</xdr:col>
      <xdr:colOff>670560</xdr:colOff>
      <xdr:row>18</xdr:row>
      <xdr:rowOff>38100</xdr:rowOff>
    </xdr:from>
    <xdr:to>
      <xdr:col>9</xdr:col>
      <xdr:colOff>480060</xdr:colOff>
      <xdr:row>24</xdr:row>
      <xdr:rowOff>121920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0F738E3D-DACD-4B14-9474-B331DCABC1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8000" y="4152900"/>
              <a:ext cx="4564380" cy="1455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327660</xdr:colOff>
      <xdr:row>13</xdr:row>
      <xdr:rowOff>220980</xdr:rowOff>
    </xdr:from>
    <xdr:to>
      <xdr:col>5</xdr:col>
      <xdr:colOff>609600</xdr:colOff>
      <xdr:row>15</xdr:row>
      <xdr:rowOff>45720</xdr:rowOff>
    </xdr:to>
    <xdr:sp macro="" textlink="">
      <xdr:nvSpPr>
        <xdr:cNvPr id="31" name="TextBox 30">
          <a:extLst>
            <a:ext uri="{FF2B5EF4-FFF2-40B4-BE49-F238E27FC236}">
              <a16:creationId xmlns:a16="http://schemas.microsoft.com/office/drawing/2014/main" id="{2B50E0BB-3146-4942-BF0C-495EF51B1037}"/>
            </a:ext>
          </a:extLst>
        </xdr:cNvPr>
        <xdr:cNvSpPr txBox="1"/>
      </xdr:nvSpPr>
      <xdr:spPr>
        <a:xfrm>
          <a:off x="2705100" y="3192780"/>
          <a:ext cx="18669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 By Products</a:t>
          </a:r>
        </a:p>
      </xdr:txBody>
    </xdr:sp>
    <xdr:clientData/>
  </xdr:twoCellAnchor>
  <xdr:twoCellAnchor>
    <xdr:from>
      <xdr:col>10</xdr:col>
      <xdr:colOff>152400</xdr:colOff>
      <xdr:row>13</xdr:row>
      <xdr:rowOff>190500</xdr:rowOff>
    </xdr:from>
    <xdr:to>
      <xdr:col>12</xdr:col>
      <xdr:colOff>586740</xdr:colOff>
      <xdr:row>14</xdr:row>
      <xdr:rowOff>198120</xdr:rowOff>
    </xdr:to>
    <xdr:sp macro="" textlink="">
      <xdr:nvSpPr>
        <xdr:cNvPr id="33" name="TextBox 32">
          <a:extLst>
            <a:ext uri="{FF2B5EF4-FFF2-40B4-BE49-F238E27FC236}">
              <a16:creationId xmlns:a16="http://schemas.microsoft.com/office/drawing/2014/main" id="{3C3ED7A6-AF36-4C24-975F-7A59EBADF141}"/>
            </a:ext>
          </a:extLst>
        </xdr:cNvPr>
        <xdr:cNvSpPr txBox="1"/>
      </xdr:nvSpPr>
      <xdr:spPr>
        <a:xfrm>
          <a:off x="8077200" y="3162300"/>
          <a:ext cx="201930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a:t>
          </a:r>
          <a:r>
            <a:rPr lang="en-US" sz="1100" b="1" baseline="0"/>
            <a:t> Performing 3 salesman</a:t>
          </a:r>
          <a:endParaRPr lang="en-US" sz="1100" b="1"/>
        </a:p>
      </xdr:txBody>
    </xdr:sp>
    <xdr:clientData/>
  </xdr:twoCellAnchor>
  <xdr:twoCellAnchor>
    <xdr:from>
      <xdr:col>10</xdr:col>
      <xdr:colOff>129540</xdr:colOff>
      <xdr:row>19</xdr:row>
      <xdr:rowOff>160020</xdr:rowOff>
    </xdr:from>
    <xdr:to>
      <xdr:col>12</xdr:col>
      <xdr:colOff>419100</xdr:colOff>
      <xdr:row>20</xdr:row>
      <xdr:rowOff>175260</xdr:rowOff>
    </xdr:to>
    <xdr:sp macro="" textlink="">
      <xdr:nvSpPr>
        <xdr:cNvPr id="35" name="TextBox 34">
          <a:extLst>
            <a:ext uri="{FF2B5EF4-FFF2-40B4-BE49-F238E27FC236}">
              <a16:creationId xmlns:a16="http://schemas.microsoft.com/office/drawing/2014/main" id="{61910160-5B7E-4C4F-A2C9-BF638257B426}"/>
            </a:ext>
          </a:extLst>
        </xdr:cNvPr>
        <xdr:cNvSpPr txBox="1"/>
      </xdr:nvSpPr>
      <xdr:spPr>
        <a:xfrm>
          <a:off x="8054340" y="4503420"/>
          <a:ext cx="187452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Poor</a:t>
          </a:r>
          <a:r>
            <a:rPr lang="en-US" sz="1100" b="1" baseline="0"/>
            <a:t> Performing 3 Salesman</a:t>
          </a:r>
          <a:endParaRPr lang="en-US" sz="1100" b="1"/>
        </a:p>
      </xdr:txBody>
    </xdr:sp>
    <xdr:clientData/>
  </xdr:twoCellAnchor>
  <xdr:twoCellAnchor>
    <xdr:from>
      <xdr:col>10</xdr:col>
      <xdr:colOff>190500</xdr:colOff>
      <xdr:row>14</xdr:row>
      <xdr:rowOff>205740</xdr:rowOff>
    </xdr:from>
    <xdr:to>
      <xdr:col>16</xdr:col>
      <xdr:colOff>7620</xdr:colOff>
      <xdr:row>18</xdr:row>
      <xdr:rowOff>182880</xdr:rowOff>
    </xdr:to>
    <xdr:graphicFrame macro="">
      <xdr:nvGraphicFramePr>
        <xdr:cNvPr id="11" name="Chart 10">
          <a:extLst>
            <a:ext uri="{FF2B5EF4-FFF2-40B4-BE49-F238E27FC236}">
              <a16:creationId xmlns:a16="http://schemas.microsoft.com/office/drawing/2014/main" id="{015F800C-22BA-464C-AEFA-AADB24252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15</xdr:row>
      <xdr:rowOff>152400</xdr:rowOff>
    </xdr:from>
    <xdr:to>
      <xdr:col>9</xdr:col>
      <xdr:colOff>236220</xdr:colOff>
      <xdr:row>25</xdr:row>
      <xdr:rowOff>45720</xdr:rowOff>
    </xdr:to>
    <xdr:graphicFrame macro="">
      <xdr:nvGraphicFramePr>
        <xdr:cNvPr id="12" name="Chart 11">
          <a:extLst>
            <a:ext uri="{FF2B5EF4-FFF2-40B4-BE49-F238E27FC236}">
              <a16:creationId xmlns:a16="http://schemas.microsoft.com/office/drawing/2014/main" id="{228E46CA-4374-4722-8E30-818E0F073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175260</xdr:colOff>
      <xdr:row>20</xdr:row>
      <xdr:rowOff>167640</xdr:rowOff>
    </xdr:from>
    <xdr:to>
      <xdr:col>16</xdr:col>
      <xdr:colOff>60960</xdr:colOff>
      <xdr:row>24</xdr:row>
      <xdr:rowOff>213360</xdr:rowOff>
    </xdr:to>
    <xdr:graphicFrame macro="">
      <xdr:nvGraphicFramePr>
        <xdr:cNvPr id="13" name="Chart 12">
          <a:extLst>
            <a:ext uri="{FF2B5EF4-FFF2-40B4-BE49-F238E27FC236}">
              <a16:creationId xmlns:a16="http://schemas.microsoft.com/office/drawing/2014/main" id="{6814184F-0DC1-4CCD-9425-7746A4AF0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426720</xdr:colOff>
      <xdr:row>11</xdr:row>
      <xdr:rowOff>129540</xdr:rowOff>
    </xdr:from>
    <xdr:to>
      <xdr:col>16</xdr:col>
      <xdr:colOff>213360</xdr:colOff>
      <xdr:row>13</xdr:row>
      <xdr:rowOff>30480</xdr:rowOff>
    </xdr:to>
    <xdr:sp macro="" textlink="">
      <xdr:nvSpPr>
        <xdr:cNvPr id="14" name="Rectangle 13">
          <a:extLst>
            <a:ext uri="{FF2B5EF4-FFF2-40B4-BE49-F238E27FC236}">
              <a16:creationId xmlns:a16="http://schemas.microsoft.com/office/drawing/2014/main" id="{C66E0DD0-DC19-12C3-098D-9134428EBAEB}"/>
            </a:ext>
          </a:extLst>
        </xdr:cNvPr>
        <xdr:cNvSpPr/>
      </xdr:nvSpPr>
      <xdr:spPr>
        <a:xfrm>
          <a:off x="2011680" y="2644140"/>
          <a:ext cx="10881360" cy="35814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b="1">
              <a:solidFill>
                <a:sysClr val="windowText" lastClr="000000"/>
              </a:solidFill>
            </a:rPr>
            <a:t>ANALYTICS</a:t>
          </a:r>
        </a:p>
      </xdr:txBody>
    </xdr:sp>
    <xdr:clientData/>
  </xdr:twoCellAnchor>
  <xdr:twoCellAnchor editAs="oneCell">
    <xdr:from>
      <xdr:col>7</xdr:col>
      <xdr:colOff>137160</xdr:colOff>
      <xdr:row>11</xdr:row>
      <xdr:rowOff>144780</xdr:rowOff>
    </xdr:from>
    <xdr:to>
      <xdr:col>7</xdr:col>
      <xdr:colOff>601980</xdr:colOff>
      <xdr:row>13</xdr:row>
      <xdr:rowOff>7620</xdr:rowOff>
    </xdr:to>
    <xdr:pic>
      <xdr:nvPicPr>
        <xdr:cNvPr id="15" name="Graphic 14" descr="Bar chart">
          <a:extLst>
            <a:ext uri="{FF2B5EF4-FFF2-40B4-BE49-F238E27FC236}">
              <a16:creationId xmlns:a16="http://schemas.microsoft.com/office/drawing/2014/main" id="{669A99E5-A486-4AF7-87E9-3FE4162BD6B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684520" y="2659380"/>
          <a:ext cx="464820" cy="320040"/>
        </a:xfrm>
        <a:prstGeom prst="rect">
          <a:avLst/>
        </a:prstGeom>
      </xdr:spPr>
    </xdr:pic>
    <xdr:clientData/>
  </xdr:twoCellAnchor>
  <xdr:twoCellAnchor>
    <xdr:from>
      <xdr:col>0</xdr:col>
      <xdr:colOff>327660</xdr:colOff>
      <xdr:row>1</xdr:row>
      <xdr:rowOff>220980</xdr:rowOff>
    </xdr:from>
    <xdr:to>
      <xdr:col>2</xdr:col>
      <xdr:colOff>38100</xdr:colOff>
      <xdr:row>6</xdr:row>
      <xdr:rowOff>182880</xdr:rowOff>
    </xdr:to>
    <xdr:sp macro="" textlink="">
      <xdr:nvSpPr>
        <xdr:cNvPr id="16" name="Rectangle: Rounded Corners 15">
          <a:extLst>
            <a:ext uri="{FF2B5EF4-FFF2-40B4-BE49-F238E27FC236}">
              <a16:creationId xmlns:a16="http://schemas.microsoft.com/office/drawing/2014/main" id="{6F44DC9F-15D8-4C7B-91D0-F7181CBC7E35}"/>
            </a:ext>
          </a:extLst>
        </xdr:cNvPr>
        <xdr:cNvSpPr/>
      </xdr:nvSpPr>
      <xdr:spPr>
        <a:xfrm>
          <a:off x="327660" y="449580"/>
          <a:ext cx="1295400" cy="11049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251460</xdr:colOff>
      <xdr:row>1</xdr:row>
      <xdr:rowOff>83820</xdr:rowOff>
    </xdr:from>
    <xdr:to>
      <xdr:col>2</xdr:col>
      <xdr:colOff>39369</xdr:colOff>
      <xdr:row>7</xdr:row>
      <xdr:rowOff>83820</xdr:rowOff>
    </xdr:to>
    <xdr:pic>
      <xdr:nvPicPr>
        <xdr:cNvPr id="17" name="Picture 16">
          <a:extLst>
            <a:ext uri="{FF2B5EF4-FFF2-40B4-BE49-F238E27FC236}">
              <a16:creationId xmlns:a16="http://schemas.microsoft.com/office/drawing/2014/main" id="{FFCC81D0-CD15-46C1-9D8F-3896C3D180B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1460" y="312420"/>
          <a:ext cx="1372869" cy="1371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ount="6">
        <n v="7"/>
        <n v="6"/>
        <n v="5"/>
        <n v="4"/>
        <n v="3"/>
        <n v="2"/>
      </sharedItems>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E4D6B7-2CE3-40B6-A82D-204AA35A4E3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62:C6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i>
    <i>
      <x v="4"/>
    </i>
    <i>
      <x v="5"/>
    </i>
    <i t="grand">
      <x/>
    </i>
  </rowItems>
  <colItems count="1">
    <i/>
  </colItems>
  <dataFields count="1">
    <dataField name="Sum of Qty" fld="5" baseField="0" baseItem="0" numFmtId="164"/>
  </dataFields>
  <pivotTableStyleInfo name="PivotStyleLight16" showRowHeaders="1" showColHeaders="1" showRowStripes="0" showColStripes="0" showLastColumn="1"/>
  <filters count="1">
    <filter fld="4" type="count" evalOrder="-1" id="1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000D5E-A6F6-4FA4-8BB5-C9C47648EF1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32:C37"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Amount" fld="7" baseField="0" baseItem="0" numFmtId="164"/>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6F5AF-B1B9-4738-8186-704F1A59847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B91:C95"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i>
    <i>
      <x v="4"/>
    </i>
    <i>
      <x v="5"/>
    </i>
    <i t="grand">
      <x/>
    </i>
  </rowItems>
  <colItems count="1">
    <i/>
  </colItems>
  <dataFields count="1">
    <dataField name="Count of Qty" fld="5" subtotal="count" baseField="4" baseItem="0"/>
  </dataFields>
  <chartFormats count="4">
    <chartFormat chart="15"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A7628-F360-46CC-BA48-5580066027C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B106:C110"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1"/>
    </i>
    <i>
      <x v="2"/>
    </i>
    <i>
      <x v="3"/>
    </i>
    <i t="grand">
      <x/>
    </i>
  </rowItems>
  <colItems count="1">
    <i/>
  </colItems>
  <dataFields count="1">
    <dataField name="Count of Qty" fld="5" subtotal="count" baseField="2" baseItem="0"/>
  </dataFields>
  <chartFormats count="3">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4D7D4C-6234-4647-89CD-09E9B1F93DB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50:B51"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164"/>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037F33-B9A1-43F0-BE70-4B25FD70937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C1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874C0A-AAAA-4A2D-BFC5-6A2BF61DC93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56:C60"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1"/>
    </i>
    <i>
      <x v="2"/>
    </i>
    <i>
      <x v="3"/>
    </i>
    <i t="grand">
      <x/>
    </i>
  </rowItems>
  <colItems count="1">
    <i/>
  </colItems>
  <dataFields count="1">
    <dataField name="Sum of Qty" fld="5" baseField="0" baseItem="0" numFmtId="1"/>
  </dataFields>
  <formats count="2">
    <format dxfId="1">
      <pivotArea collapsedLevelsAreSubtotals="1" fieldPosition="0">
        <references count="1">
          <reference field="4" count="1">
            <x v="0"/>
          </reference>
        </references>
      </pivotArea>
    </format>
    <format dxfId="0">
      <pivotArea outline="0" fieldPosition="0">
        <references count="1">
          <reference field="4294967294" count="1">
            <x v="0"/>
          </reference>
        </references>
      </pivotArea>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971834-68D5-4A4A-A6FA-5A381A9AE32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53:B54"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Amount" fld="7"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5E6D5F-331C-42F9-8F48-89097BDACD3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B97:C10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Sum of Amount" fld="7" baseField="0" baseItem="0" numFmtId="164"/>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E1052D-5773-4610-8F3E-215B8953527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B40:C47"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Amount" fld="7" baseField="0" baseItem="0" numFmtId="164"/>
  </dataFields>
  <chartFormats count="8">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9C2DF-31AD-4BED-B1FE-CE6C12CE713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B78:C85"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Count of Qty" fld="5" subtotal="count" baseField="4" baseItem="0"/>
  </dataFields>
  <chartFormats count="14">
    <chartFormat chart="15"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 chart="17" format="12">
      <pivotArea type="data" outline="0" fieldPosition="0">
        <references count="2">
          <reference field="4294967294" count="1" selected="0">
            <x v="0"/>
          </reference>
          <reference field="4" count="1" selected="0">
            <x v="3"/>
          </reference>
        </references>
      </pivotArea>
    </chartFormat>
    <chartFormat chart="17" format="13">
      <pivotArea type="data" outline="0" fieldPosition="0">
        <references count="2">
          <reference field="4294967294" count="1" selected="0">
            <x v="0"/>
          </reference>
          <reference field="4" count="1" selected="0">
            <x v="4"/>
          </reference>
        </references>
      </pivotArea>
    </chartFormat>
    <chartFormat chart="17" format="14">
      <pivotArea type="data" outline="0" fieldPosition="0">
        <references count="2">
          <reference field="4294967294" count="1" selected="0">
            <x v="0"/>
          </reference>
          <reference field="4" count="1" selected="0">
            <x v="5"/>
          </reference>
        </references>
      </pivotArea>
    </chartFormat>
    <chartFormat chart="15" format="1">
      <pivotArea type="data" outline="0" fieldPosition="0">
        <references count="2">
          <reference field="4294967294" count="1" selected="0">
            <x v="0"/>
          </reference>
          <reference field="4" count="1" selected="0">
            <x v="0"/>
          </reference>
        </references>
      </pivotArea>
    </chartFormat>
    <chartFormat chart="15" format="2">
      <pivotArea type="data" outline="0" fieldPosition="0">
        <references count="2">
          <reference field="4294967294" count="1" selected="0">
            <x v="0"/>
          </reference>
          <reference field="4" count="1" selected="0">
            <x v="1"/>
          </reference>
        </references>
      </pivotArea>
    </chartFormat>
    <chartFormat chart="15" format="3">
      <pivotArea type="data" outline="0" fieldPosition="0">
        <references count="2">
          <reference field="4294967294" count="1" selected="0">
            <x v="0"/>
          </reference>
          <reference field="4" count="1" selected="0">
            <x v="2"/>
          </reference>
        </references>
      </pivotArea>
    </chartFormat>
    <chartFormat chart="15" format="4">
      <pivotArea type="data" outline="0" fieldPosition="0">
        <references count="2">
          <reference field="4294967294" count="1" selected="0">
            <x v="0"/>
          </reference>
          <reference field="4" count="1" selected="0">
            <x v="3"/>
          </reference>
        </references>
      </pivotArea>
    </chartFormat>
    <chartFormat chart="15" format="5">
      <pivotArea type="data" outline="0" fieldPosition="0">
        <references count="2">
          <reference field="4294967294" count="1" selected="0">
            <x v="0"/>
          </reference>
          <reference field="4" count="1" selected="0">
            <x v="4"/>
          </reference>
        </references>
      </pivotArea>
    </chartFormat>
    <chartFormat chart="15"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1F7EB28-FE3A-4929-AEB6-566F9849E2F4}" sourceName="Region">
  <pivotTables>
    <pivotTable tabId="13" name="PivotTable1"/>
    <pivotTable tabId="13" name="PivotTable3"/>
    <pivotTable tabId="13" name="PivotTable4"/>
    <pivotTable tabId="13" name="PivotTable5"/>
    <pivotTable tabId="13" name="PivotTable6"/>
    <pivotTable tabId="13" name="PivotTable2"/>
    <pivotTable tabId="13" name="PivotTable8"/>
    <pivotTable tabId="13" name="PivotTable7"/>
    <pivotTable tabId="13" name="PivotTable9"/>
    <pivotTable tabId="13" name="PivotTable10"/>
    <pivotTable tabId="13" name="PivotTable11"/>
  </pivotTables>
  <data>
    <tabular pivotCacheId="93940955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8C28C5EB-7EB1-4D18-B86F-14CF8A18D174}" sourceName="Item">
  <pivotTables>
    <pivotTable tabId="13" name="PivotTable1"/>
    <pivotTable tabId="13" name="PivotTable3"/>
    <pivotTable tabId="13" name="PivotTable4"/>
    <pivotTable tabId="13" name="PivotTable5"/>
    <pivotTable tabId="13" name="PivotTable6"/>
    <pivotTable tabId="13" name="PivotTable2"/>
    <pivotTable tabId="3" name="PivotTable7"/>
    <pivotTable tabId="3" name="PivotTable6"/>
    <pivotTable tabId="3" name="PivotTable5"/>
    <pivotTable tabId="3" name="PivotTable13"/>
    <pivotTable tabId="3" name="PivotTable12"/>
    <pivotTable tabId="3" name="PivotTable11"/>
    <pivotTable tabId="3" name="PivotTable3"/>
    <pivotTable tabId="3" name="PivotTable1"/>
    <pivotTable tabId="13" name="PivotTable8"/>
    <pivotTable tabId="13" name="PivotTable7"/>
    <pivotTable tabId="13" name="PivotTable9"/>
    <pivotTable tabId="13" name="PivotTable10"/>
    <pivotTable tabId="13" name="PivotTable11"/>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6D76C92F-00F7-4261-9E9F-1CA94523FE96}" cache="Slicer_Region1" caption="Region" columnCount="2" rowHeight="219600"/>
  <slicer name="Item 9" xr10:uid="{E9706139-0C44-435C-8BE5-AFE96F5001DF}" cache="Slicer_Item1" caption="Item" columnCount="6" rowHeight="219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0" xr10:uid="{2EC5A230-2430-4CC1-BB45-EF88997F97A3}" cache="Slicer_Region1" caption="Region" columnCount="2" rowHeight="219600"/>
  <slicer name="Item 10" xr10:uid="{5C633E78-3091-4901-ACE7-CB5C7724624B}" cache="Slicer_Item1" caption="Item" columnCount="6" rowHeight="219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1" xr10:uid="{FF854096-A044-4B45-A0C6-9E846D4BBB1B}" cache="Slicer_Region1" caption="Region" columnCount="2" rowHeight="219600"/>
  <slicer name="Item 11" xr10:uid="{A7848875-DA62-4F6E-BC0F-619EB858BBD6}" cache="Slicer_Item1" caption="Item" columnCount="6" rowHeight="219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1"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1" caption="Item" columnCount="6"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1" caption="Item" columnCount="6"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1"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D2CE9273-FC7F-4096-A36B-D0237954B6B4}" sourceName="Date">
  <pivotTables>
    <pivotTable tabId="13" name="PivotTable1"/>
    <pivotTable tabId="13" name="PivotTable3"/>
    <pivotTable tabId="13" name="PivotTable4"/>
    <pivotTable tabId="13" name="PivotTable5"/>
    <pivotTable tabId="13" name="PivotTable6"/>
    <pivotTable tabId="13" name="PivotTable2"/>
    <pivotTable tabId="13" name="PivotTable8"/>
    <pivotTable tabId="13" name="PivotTable7"/>
    <pivotTable tabId="13" name="PivotTable9"/>
    <pivotTable tabId="13" name="PivotTable10"/>
    <pivotTable tabId="13" name="PivotTable11"/>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D5542C0A-30C7-450C-826A-B65CFD172012}" cache="NativeTimeline_Date1" caption="Date" showSelectionLabel="0" showTimeLevel="0" showHorizontalScrollbar="0" level="2" selectionLevel="2" scrollPosition="2021-11-1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0" xr10:uid="{0CB9BC7F-2B18-4B37-8174-1999B7ECC9D4}" cache="NativeTimeline_Date1" caption="Date" showSelectionLabel="0" showTimeLevel="0" showHorizontalScrollbar="0" level="2" selectionLevel="2" scrollPosition="2021-11-13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1" xr10:uid="{D990B7DD-4277-48F6-8803-EF5FA2BF88B9}" cache="NativeTimeline_Date1" caption="Date" showSelectionLabel="0" showTimeLevel="0" showHorizontalScrollbar="0" level="2" selectionLevel="2" scrollPosition="2021-11-13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drawing" Target="../drawings/drawing8.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rinterSettings" Target="../printerSettings/printerSettings4.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microsoft.com/office/2011/relationships/timeline" Target="../timelines/timeline7.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I24" sqref="I24"/>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DA62B-C4C3-4C02-B2CB-66F925EB010E}">
  <dimension ref="B3:C110"/>
  <sheetViews>
    <sheetView topLeftCell="A11" workbookViewId="0">
      <selection activeCell="E113" sqref="E113"/>
    </sheetView>
  </sheetViews>
  <sheetFormatPr defaultRowHeight="18" x14ac:dyDescent="0.35"/>
  <cols>
    <col min="2" max="2" width="11.33203125" bestFit="1" customWidth="1"/>
    <col min="3" max="3" width="15.75" customWidth="1"/>
    <col min="4" max="4" width="13.1640625" bestFit="1" customWidth="1"/>
  </cols>
  <sheetData>
    <row r="3" spans="2:3" x14ac:dyDescent="0.35">
      <c r="B3" s="7" t="s">
        <v>24</v>
      </c>
      <c r="C3" t="s">
        <v>33</v>
      </c>
    </row>
    <row r="4" spans="2:3" x14ac:dyDescent="0.35">
      <c r="B4" s="8" t="s">
        <v>38</v>
      </c>
      <c r="C4" s="11">
        <v>143130</v>
      </c>
    </row>
    <row r="5" spans="2:3" x14ac:dyDescent="0.35">
      <c r="B5" s="8" t="s">
        <v>39</v>
      </c>
      <c r="C5" s="11">
        <v>224470</v>
      </c>
    </row>
    <row r="6" spans="2:3" x14ac:dyDescent="0.35">
      <c r="B6" s="8" t="s">
        <v>40</v>
      </c>
      <c r="C6" s="11">
        <v>86100</v>
      </c>
    </row>
    <row r="7" spans="2:3" x14ac:dyDescent="0.35">
      <c r="B7" s="8" t="s">
        <v>26</v>
      </c>
      <c r="C7" s="11">
        <v>153530</v>
      </c>
    </row>
    <row r="8" spans="2:3" x14ac:dyDescent="0.35">
      <c r="B8" s="8" t="s">
        <v>27</v>
      </c>
      <c r="C8" s="11">
        <v>110160</v>
      </c>
    </row>
    <row r="9" spans="2:3" x14ac:dyDescent="0.35">
      <c r="B9" s="8" t="s">
        <v>28</v>
      </c>
      <c r="C9" s="11">
        <v>118530</v>
      </c>
    </row>
    <row r="10" spans="2:3" x14ac:dyDescent="0.35">
      <c r="B10" s="8" t="s">
        <v>29</v>
      </c>
      <c r="C10" s="11">
        <v>130100</v>
      </c>
    </row>
    <row r="11" spans="2:3" x14ac:dyDescent="0.35">
      <c r="B11" s="8" t="s">
        <v>30</v>
      </c>
      <c r="C11" s="11">
        <v>156300</v>
      </c>
    </row>
    <row r="12" spans="2:3" x14ac:dyDescent="0.35">
      <c r="B12" s="8" t="s">
        <v>31</v>
      </c>
      <c r="C12" s="11">
        <v>223770</v>
      </c>
    </row>
    <row r="13" spans="2:3" x14ac:dyDescent="0.35">
      <c r="B13" s="8" t="s">
        <v>32</v>
      </c>
      <c r="C13" s="11">
        <v>197350</v>
      </c>
    </row>
    <row r="14" spans="2:3" x14ac:dyDescent="0.35">
      <c r="B14" s="8" t="s">
        <v>36</v>
      </c>
      <c r="C14" s="11">
        <v>31520</v>
      </c>
    </row>
    <row r="15" spans="2:3" x14ac:dyDescent="0.35">
      <c r="B15" s="8" t="s">
        <v>37</v>
      </c>
      <c r="C15" s="11">
        <v>207610</v>
      </c>
    </row>
    <row r="16" spans="2:3" x14ac:dyDescent="0.35">
      <c r="B16" s="8" t="s">
        <v>25</v>
      </c>
      <c r="C16" s="11">
        <v>1782570</v>
      </c>
    </row>
    <row r="18" spans="2:3" x14ac:dyDescent="0.35">
      <c r="B18" t="str">
        <f>B4</f>
        <v>Jan</v>
      </c>
      <c r="C18">
        <f>GETPIVOTDATA("Amount",$B$3,"Months",1)</f>
        <v>143130</v>
      </c>
    </row>
    <row r="19" spans="2:3" x14ac:dyDescent="0.35">
      <c r="B19" t="str">
        <f t="shared" ref="B19:B29" si="0">B5</f>
        <v>Feb</v>
      </c>
      <c r="C19">
        <f>GETPIVOTDATA("Amount",$B$3,"Months",2)</f>
        <v>224470</v>
      </c>
    </row>
    <row r="20" spans="2:3" x14ac:dyDescent="0.35">
      <c r="B20" t="str">
        <f t="shared" si="0"/>
        <v>Mar</v>
      </c>
      <c r="C20">
        <f>GETPIVOTDATA("Amount",$B$3,"Months",3)</f>
        <v>86100</v>
      </c>
    </row>
    <row r="21" spans="2:3" x14ac:dyDescent="0.35">
      <c r="B21" t="str">
        <f t="shared" si="0"/>
        <v>Apr</v>
      </c>
      <c r="C21">
        <f>GETPIVOTDATA("Amount",$B$3,"Months",4)</f>
        <v>153530</v>
      </c>
    </row>
    <row r="22" spans="2:3" x14ac:dyDescent="0.35">
      <c r="B22" t="str">
        <f t="shared" si="0"/>
        <v>May</v>
      </c>
      <c r="C22">
        <f>GETPIVOTDATA("Amount",$B$3,"Months",5)</f>
        <v>110160</v>
      </c>
    </row>
    <row r="23" spans="2:3" x14ac:dyDescent="0.35">
      <c r="B23" t="str">
        <f t="shared" si="0"/>
        <v>Jun</v>
      </c>
      <c r="C23">
        <f>GETPIVOTDATA("Amount",$B$3,"Months",6)</f>
        <v>118530</v>
      </c>
    </row>
    <row r="24" spans="2:3" x14ac:dyDescent="0.35">
      <c r="B24" t="str">
        <f t="shared" si="0"/>
        <v>Jul</v>
      </c>
      <c r="C24">
        <f>GETPIVOTDATA("Amount",$B$3,"Months",7)</f>
        <v>130100</v>
      </c>
    </row>
    <row r="25" spans="2:3" x14ac:dyDescent="0.35">
      <c r="B25" t="str">
        <f t="shared" si="0"/>
        <v>Aug</v>
      </c>
      <c r="C25">
        <f>GETPIVOTDATA("Amount",$B$3,"Months",8)</f>
        <v>156300</v>
      </c>
    </row>
    <row r="26" spans="2:3" x14ac:dyDescent="0.35">
      <c r="B26" t="str">
        <f t="shared" si="0"/>
        <v>Sep</v>
      </c>
      <c r="C26">
        <f>GETPIVOTDATA("Amount",$B$3,"Months",9)</f>
        <v>223770</v>
      </c>
    </row>
    <row r="27" spans="2:3" x14ac:dyDescent="0.35">
      <c r="B27" t="str">
        <f>B13</f>
        <v>Oct</v>
      </c>
      <c r="C27">
        <f>GETPIVOTDATA("Amount",$B$3,"Months",10)</f>
        <v>197350</v>
      </c>
    </row>
    <row r="28" spans="2:3" x14ac:dyDescent="0.35">
      <c r="B28" t="str">
        <f t="shared" si="0"/>
        <v>Nov</v>
      </c>
      <c r="C28">
        <f>GETPIVOTDATA("Amount",$B$3,"Months",11)</f>
        <v>31520</v>
      </c>
    </row>
    <row r="29" spans="2:3" x14ac:dyDescent="0.35">
      <c r="B29" t="str">
        <f t="shared" si="0"/>
        <v>Dec</v>
      </c>
      <c r="C29">
        <f>GETPIVOTDATA("Amount",$B$3,"Months",12)</f>
        <v>207610</v>
      </c>
    </row>
    <row r="32" spans="2:3" x14ac:dyDescent="0.35">
      <c r="B32" s="7" t="s">
        <v>24</v>
      </c>
      <c r="C32" t="s">
        <v>33</v>
      </c>
    </row>
    <row r="33" spans="2:3" x14ac:dyDescent="0.35">
      <c r="B33" s="8" t="s">
        <v>9</v>
      </c>
      <c r="C33" s="11">
        <v>736080</v>
      </c>
    </row>
    <row r="34" spans="2:3" x14ac:dyDescent="0.35">
      <c r="B34" s="8" t="s">
        <v>22</v>
      </c>
      <c r="C34" s="11">
        <v>203680</v>
      </c>
    </row>
    <row r="35" spans="2:3" x14ac:dyDescent="0.35">
      <c r="B35" s="8" t="s">
        <v>23</v>
      </c>
      <c r="C35" s="11">
        <v>335480</v>
      </c>
    </row>
    <row r="36" spans="2:3" x14ac:dyDescent="0.35">
      <c r="B36" s="8" t="s">
        <v>12</v>
      </c>
      <c r="C36" s="11">
        <v>507330</v>
      </c>
    </row>
    <row r="37" spans="2:3" x14ac:dyDescent="0.35">
      <c r="B37" s="8" t="s">
        <v>25</v>
      </c>
      <c r="C37" s="11">
        <v>1782570</v>
      </c>
    </row>
    <row r="40" spans="2:3" x14ac:dyDescent="0.35">
      <c r="B40" s="7" t="s">
        <v>24</v>
      </c>
      <c r="C40" t="s">
        <v>33</v>
      </c>
    </row>
    <row r="41" spans="2:3" x14ac:dyDescent="0.35">
      <c r="B41" s="8" t="s">
        <v>21</v>
      </c>
      <c r="C41" s="11">
        <v>25320</v>
      </c>
    </row>
    <row r="42" spans="2:3" x14ac:dyDescent="0.35">
      <c r="B42" s="8" t="s">
        <v>15</v>
      </c>
      <c r="C42" s="11">
        <v>339000</v>
      </c>
    </row>
    <row r="43" spans="2:3" x14ac:dyDescent="0.35">
      <c r="B43" s="8" t="s">
        <v>10</v>
      </c>
      <c r="C43" s="11">
        <v>66150</v>
      </c>
    </row>
    <row r="44" spans="2:3" x14ac:dyDescent="0.35">
      <c r="B44" s="8" t="s">
        <v>13</v>
      </c>
      <c r="C44" s="11">
        <v>934500</v>
      </c>
    </row>
    <row r="45" spans="2:3" x14ac:dyDescent="0.35">
      <c r="B45" s="8" t="s">
        <v>17</v>
      </c>
      <c r="C45" s="11">
        <v>352200</v>
      </c>
    </row>
    <row r="46" spans="2:3" x14ac:dyDescent="0.35">
      <c r="B46" s="8" t="s">
        <v>19</v>
      </c>
      <c r="C46" s="11">
        <v>65400</v>
      </c>
    </row>
    <row r="47" spans="2:3" x14ac:dyDescent="0.35">
      <c r="B47" s="8" t="s">
        <v>25</v>
      </c>
      <c r="C47" s="11">
        <v>1782570</v>
      </c>
    </row>
    <row r="50" spans="2:3" x14ac:dyDescent="0.35">
      <c r="B50" t="s">
        <v>33</v>
      </c>
    </row>
    <row r="51" spans="2:3" x14ac:dyDescent="0.35">
      <c r="B51" s="11">
        <v>1782570</v>
      </c>
      <c r="C51" s="14">
        <f>GETPIVOTDATA("Amount",$B$50)</f>
        <v>1782570</v>
      </c>
    </row>
    <row r="53" spans="2:3" x14ac:dyDescent="0.35">
      <c r="B53" t="s">
        <v>34</v>
      </c>
    </row>
    <row r="54" spans="2:3" x14ac:dyDescent="0.35">
      <c r="B54">
        <v>366</v>
      </c>
      <c r="C54">
        <f>GETPIVOTDATA("Amount",$B$53)</f>
        <v>366</v>
      </c>
    </row>
    <row r="56" spans="2:3" x14ac:dyDescent="0.35">
      <c r="B56" s="7" t="s">
        <v>24</v>
      </c>
      <c r="C56" t="s">
        <v>35</v>
      </c>
    </row>
    <row r="57" spans="2:3" x14ac:dyDescent="0.35">
      <c r="B57" s="8" t="s">
        <v>15</v>
      </c>
      <c r="C57" s="15">
        <v>251</v>
      </c>
    </row>
    <row r="58" spans="2:3" x14ac:dyDescent="0.35">
      <c r="B58" s="8" t="s">
        <v>10</v>
      </c>
      <c r="C58" s="15">
        <v>319</v>
      </c>
    </row>
    <row r="59" spans="2:3" x14ac:dyDescent="0.35">
      <c r="B59" s="8" t="s">
        <v>13</v>
      </c>
      <c r="C59" s="15">
        <v>445</v>
      </c>
    </row>
    <row r="60" spans="2:3" x14ac:dyDescent="0.35">
      <c r="B60" s="8" t="s">
        <v>25</v>
      </c>
      <c r="C60" s="15">
        <v>1015</v>
      </c>
    </row>
    <row r="62" spans="2:3" x14ac:dyDescent="0.35">
      <c r="B62" s="7" t="s">
        <v>24</v>
      </c>
      <c r="C62" t="s">
        <v>35</v>
      </c>
    </row>
    <row r="63" spans="2:3" x14ac:dyDescent="0.35">
      <c r="B63" s="8" t="s">
        <v>21</v>
      </c>
      <c r="C63" s="11">
        <v>132</v>
      </c>
    </row>
    <row r="64" spans="2:3" x14ac:dyDescent="0.35">
      <c r="B64" s="8" t="s">
        <v>17</v>
      </c>
      <c r="C64" s="11">
        <v>242</v>
      </c>
    </row>
    <row r="65" spans="2:3" x14ac:dyDescent="0.35">
      <c r="B65" s="8" t="s">
        <v>19</v>
      </c>
      <c r="C65" s="11">
        <v>218</v>
      </c>
    </row>
    <row r="66" spans="2:3" x14ac:dyDescent="0.35">
      <c r="B66" s="8" t="s">
        <v>25</v>
      </c>
      <c r="C66" s="11">
        <v>592</v>
      </c>
    </row>
    <row r="68" spans="2:3" x14ac:dyDescent="0.35">
      <c r="B68" t="str">
        <f>B63</f>
        <v>Keyboard</v>
      </c>
      <c r="C68">
        <f>GETPIVOTDATA("Qty",$B$62,"Item","Keyboard")</f>
        <v>132</v>
      </c>
    </row>
    <row r="69" spans="2:3" x14ac:dyDescent="0.35">
      <c r="B69" t="str">
        <f>B65</f>
        <v>Speaker</v>
      </c>
      <c r="C69">
        <f>GETPIVOTDATA("Qty",$B$62,"Item","Speaker")</f>
        <v>218</v>
      </c>
    </row>
    <row r="70" spans="2:3" x14ac:dyDescent="0.35">
      <c r="B70" t="str">
        <f>B64</f>
        <v>Scanner</v>
      </c>
      <c r="C70">
        <f>GETPIVOTDATA("Qty",$B$62,"Item","Scanner")</f>
        <v>242</v>
      </c>
    </row>
    <row r="78" spans="2:3" x14ac:dyDescent="0.35">
      <c r="B78" s="7" t="s">
        <v>24</v>
      </c>
      <c r="C78" t="s">
        <v>41</v>
      </c>
    </row>
    <row r="79" spans="2:3" x14ac:dyDescent="0.35">
      <c r="B79" s="8" t="s">
        <v>21</v>
      </c>
      <c r="C79">
        <v>54</v>
      </c>
    </row>
    <row r="80" spans="2:3" x14ac:dyDescent="0.35">
      <c r="B80" s="8" t="s">
        <v>15</v>
      </c>
      <c r="C80">
        <v>45</v>
      </c>
    </row>
    <row r="81" spans="2:3" x14ac:dyDescent="0.35">
      <c r="B81" s="8" t="s">
        <v>10</v>
      </c>
      <c r="C81">
        <v>80</v>
      </c>
    </row>
    <row r="82" spans="2:3" x14ac:dyDescent="0.35">
      <c r="B82" s="8" t="s">
        <v>13</v>
      </c>
      <c r="C82">
        <v>73</v>
      </c>
    </row>
    <row r="83" spans="2:3" x14ac:dyDescent="0.35">
      <c r="B83" s="8" t="s">
        <v>17</v>
      </c>
      <c r="C83">
        <v>53</v>
      </c>
    </row>
    <row r="84" spans="2:3" x14ac:dyDescent="0.35">
      <c r="B84" s="8" t="s">
        <v>19</v>
      </c>
      <c r="C84">
        <v>61</v>
      </c>
    </row>
    <row r="85" spans="2:3" x14ac:dyDescent="0.35">
      <c r="B85" s="8" t="s">
        <v>25</v>
      </c>
      <c r="C85">
        <v>366</v>
      </c>
    </row>
    <row r="91" spans="2:3" x14ac:dyDescent="0.35">
      <c r="B91" s="7" t="s">
        <v>24</v>
      </c>
      <c r="C91" t="s">
        <v>41</v>
      </c>
    </row>
    <row r="92" spans="2:3" x14ac:dyDescent="0.35">
      <c r="B92" s="8" t="s">
        <v>8</v>
      </c>
      <c r="C92">
        <v>84</v>
      </c>
    </row>
    <row r="93" spans="2:3" x14ac:dyDescent="0.35">
      <c r="B93" s="8" t="s">
        <v>11</v>
      </c>
      <c r="C93">
        <v>84</v>
      </c>
    </row>
    <row r="94" spans="2:3" x14ac:dyDescent="0.35">
      <c r="B94" s="8" t="s">
        <v>20</v>
      </c>
      <c r="C94">
        <v>96</v>
      </c>
    </row>
    <row r="95" spans="2:3" x14ac:dyDescent="0.35">
      <c r="B95" s="8" t="s">
        <v>25</v>
      </c>
      <c r="C95">
        <v>264</v>
      </c>
    </row>
    <row r="97" spans="2:3" x14ac:dyDescent="0.35">
      <c r="B97" s="7" t="s">
        <v>24</v>
      </c>
      <c r="C97" t="s">
        <v>33</v>
      </c>
    </row>
    <row r="98" spans="2:3" x14ac:dyDescent="0.35">
      <c r="B98" s="8" t="s">
        <v>8</v>
      </c>
      <c r="C98" s="11">
        <v>386030</v>
      </c>
    </row>
    <row r="99" spans="2:3" x14ac:dyDescent="0.35">
      <c r="B99" s="8" t="s">
        <v>16</v>
      </c>
      <c r="C99" s="11">
        <v>184690</v>
      </c>
    </row>
    <row r="100" spans="2:3" x14ac:dyDescent="0.35">
      <c r="B100" s="8" t="s">
        <v>18</v>
      </c>
      <c r="C100" s="11">
        <v>125600</v>
      </c>
    </row>
    <row r="101" spans="2:3" x14ac:dyDescent="0.35">
      <c r="B101" s="8" t="s">
        <v>14</v>
      </c>
      <c r="C101" s="11">
        <v>139880</v>
      </c>
    </row>
    <row r="102" spans="2:3" x14ac:dyDescent="0.35">
      <c r="B102" s="8" t="s">
        <v>11</v>
      </c>
      <c r="C102" s="11">
        <v>394410</v>
      </c>
    </row>
    <row r="103" spans="2:3" x14ac:dyDescent="0.35">
      <c r="B103" s="8" t="s">
        <v>20</v>
      </c>
      <c r="C103" s="11">
        <v>551960</v>
      </c>
    </row>
    <row r="104" spans="2:3" x14ac:dyDescent="0.35">
      <c r="B104" s="8" t="s">
        <v>25</v>
      </c>
      <c r="C104" s="11">
        <v>1782570</v>
      </c>
    </row>
    <row r="106" spans="2:3" x14ac:dyDescent="0.35">
      <c r="B106" s="7" t="s">
        <v>24</v>
      </c>
      <c r="C106" t="s">
        <v>41</v>
      </c>
    </row>
    <row r="107" spans="2:3" x14ac:dyDescent="0.35">
      <c r="B107" s="8" t="s">
        <v>16</v>
      </c>
      <c r="C107">
        <v>34</v>
      </c>
    </row>
    <row r="108" spans="2:3" x14ac:dyDescent="0.35">
      <c r="B108" s="8" t="s">
        <v>18</v>
      </c>
      <c r="C108">
        <v>34</v>
      </c>
    </row>
    <row r="109" spans="2:3" x14ac:dyDescent="0.35">
      <c r="B109" s="8" t="s">
        <v>14</v>
      </c>
      <c r="C109">
        <v>34</v>
      </c>
    </row>
    <row r="110" spans="2:3" x14ac:dyDescent="0.35">
      <c r="B110" s="8" t="s">
        <v>25</v>
      </c>
      <c r="C110">
        <v>102</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5694-7558-4264-9FD3-DEE2E26A347D}">
  <dimension ref="A1"/>
  <sheetViews>
    <sheetView showGridLines="0" zoomScale="98" zoomScaleNormal="98" workbookViewId="0"/>
  </sheetViews>
  <sheetFormatPr defaultRowHeight="18"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75DB-8DE3-4626-BA6C-FE83CC828642}">
  <dimension ref="A1"/>
  <sheetViews>
    <sheetView showGridLines="0" zoomScaleNormal="100" workbookViewId="0">
      <selection activeCell="R1" sqref="R1"/>
    </sheetView>
  </sheetViews>
  <sheetFormatPr defaultRowHeight="18"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393E-EEB3-406F-A031-8C453AED8D27}">
  <dimension ref="A1"/>
  <sheetViews>
    <sheetView showGridLines="0" tabSelected="1" topLeftCell="A2" zoomScaleNormal="100" workbookViewId="0">
      <selection activeCell="Q30" sqref="Q30"/>
    </sheetView>
  </sheetViews>
  <sheetFormatPr defaultRowHeight="18" x14ac:dyDescent="0.35"/>
  <sheetData>
    <row r="1" spans="1:1" x14ac:dyDescent="0.35">
      <c r="A1"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4.33203125" bestFit="1" customWidth="1"/>
    <col min="2" max="2" width="13.1640625" bestFit="1" customWidth="1"/>
  </cols>
  <sheetData>
    <row r="2" spans="1:3" x14ac:dyDescent="0.35">
      <c r="A2" s="7" t="s">
        <v>24</v>
      </c>
      <c r="B2" t="s">
        <v>33</v>
      </c>
    </row>
    <row r="3" spans="1:3" x14ac:dyDescent="0.35">
      <c r="A3" s="8" t="s">
        <v>38</v>
      </c>
      <c r="B3">
        <v>7500</v>
      </c>
    </row>
    <row r="4" spans="1:3" x14ac:dyDescent="0.35">
      <c r="A4" s="8" t="s">
        <v>26</v>
      </c>
      <c r="B4">
        <v>153530</v>
      </c>
    </row>
    <row r="5" spans="1:3" x14ac:dyDescent="0.35">
      <c r="A5" s="8" t="s">
        <v>27</v>
      </c>
      <c r="B5">
        <v>110160</v>
      </c>
    </row>
    <row r="6" spans="1:3" x14ac:dyDescent="0.35">
      <c r="A6" s="8" t="s">
        <v>28</v>
      </c>
      <c r="B6">
        <v>118530</v>
      </c>
    </row>
    <row r="7" spans="1:3" x14ac:dyDescent="0.35">
      <c r="A7" s="8" t="s">
        <v>29</v>
      </c>
      <c r="B7">
        <v>130100</v>
      </c>
    </row>
    <row r="8" spans="1:3" x14ac:dyDescent="0.35">
      <c r="A8" s="8" t="s">
        <v>30</v>
      </c>
      <c r="B8">
        <v>156300</v>
      </c>
    </row>
    <row r="9" spans="1:3" x14ac:dyDescent="0.35">
      <c r="A9" s="8" t="s">
        <v>31</v>
      </c>
      <c r="B9">
        <v>223770</v>
      </c>
    </row>
    <row r="10" spans="1:3" x14ac:dyDescent="0.35">
      <c r="A10" s="8" t="s">
        <v>32</v>
      </c>
      <c r="B10">
        <v>197350</v>
      </c>
    </row>
    <row r="11" spans="1:3" x14ac:dyDescent="0.35">
      <c r="A11" s="8" t="s">
        <v>36</v>
      </c>
      <c r="B11">
        <v>31520</v>
      </c>
    </row>
    <row r="12" spans="1:3" x14ac:dyDescent="0.35">
      <c r="A12" s="8" t="s">
        <v>37</v>
      </c>
      <c r="B12">
        <v>207610</v>
      </c>
    </row>
    <row r="13" spans="1:3" x14ac:dyDescent="0.35">
      <c r="A13" s="8" t="s">
        <v>25</v>
      </c>
      <c r="B13">
        <v>1336370</v>
      </c>
    </row>
    <row r="15" spans="1:3" x14ac:dyDescent="0.35">
      <c r="C15" s="12">
        <f>GETPIVOTDATA("Amount",$A$2)</f>
        <v>1336370</v>
      </c>
    </row>
    <row r="18" spans="1:2" x14ac:dyDescent="0.35">
      <c r="A18" t="s">
        <v>34</v>
      </c>
    </row>
    <row r="19" spans="1:2" x14ac:dyDescent="0.35">
      <c r="A19">
        <v>276</v>
      </c>
      <c r="B19" s="12">
        <f>GETPIVOTDATA("Amount",$A$18)</f>
        <v>276</v>
      </c>
    </row>
    <row r="22" spans="1:2" x14ac:dyDescent="0.35">
      <c r="A22" s="7" t="s">
        <v>24</v>
      </c>
      <c r="B22" t="s">
        <v>33</v>
      </c>
    </row>
    <row r="23" spans="1:2" x14ac:dyDescent="0.35">
      <c r="A23" s="8" t="s">
        <v>38</v>
      </c>
      <c r="B23">
        <v>7500</v>
      </c>
    </row>
    <row r="24" spans="1:2" x14ac:dyDescent="0.35">
      <c r="A24" s="8" t="s">
        <v>26</v>
      </c>
      <c r="B24">
        <v>153530</v>
      </c>
    </row>
    <row r="25" spans="1:2" x14ac:dyDescent="0.35">
      <c r="A25" s="8" t="s">
        <v>27</v>
      </c>
      <c r="B25">
        <v>110160</v>
      </c>
    </row>
    <row r="26" spans="1:2" x14ac:dyDescent="0.35">
      <c r="A26" s="8" t="s">
        <v>28</v>
      </c>
      <c r="B26">
        <v>118530</v>
      </c>
    </row>
    <row r="27" spans="1:2" x14ac:dyDescent="0.35">
      <c r="A27" s="8" t="s">
        <v>29</v>
      </c>
      <c r="B27">
        <v>130100</v>
      </c>
    </row>
    <row r="28" spans="1:2" x14ac:dyDescent="0.35">
      <c r="A28" s="8" t="s">
        <v>30</v>
      </c>
      <c r="B28">
        <v>156300</v>
      </c>
    </row>
    <row r="29" spans="1:2" x14ac:dyDescent="0.35">
      <c r="A29" s="8" t="s">
        <v>31</v>
      </c>
      <c r="B29">
        <v>223770</v>
      </c>
    </row>
    <row r="30" spans="1:2" x14ac:dyDescent="0.35">
      <c r="A30" s="8" t="s">
        <v>32</v>
      </c>
      <c r="B30">
        <v>197350</v>
      </c>
    </row>
    <row r="31" spans="1:2" x14ac:dyDescent="0.35">
      <c r="A31" s="8" t="s">
        <v>36</v>
      </c>
      <c r="B31">
        <v>31520</v>
      </c>
    </row>
    <row r="32" spans="1:2" x14ac:dyDescent="0.35">
      <c r="A32" s="8" t="s">
        <v>37</v>
      </c>
      <c r="B32">
        <v>207610</v>
      </c>
    </row>
    <row r="33" spans="1:2" x14ac:dyDescent="0.35">
      <c r="A33" s="8" t="s">
        <v>25</v>
      </c>
      <c r="B33">
        <v>1336370</v>
      </c>
    </row>
    <row r="40" spans="1:2" x14ac:dyDescent="0.35">
      <c r="A40" s="7" t="s">
        <v>24</v>
      </c>
      <c r="B40" t="s">
        <v>33</v>
      </c>
    </row>
    <row r="41" spans="1:2" x14ac:dyDescent="0.35">
      <c r="A41" s="8" t="s">
        <v>9</v>
      </c>
      <c r="B41">
        <v>562940</v>
      </c>
    </row>
    <row r="42" spans="1:2" x14ac:dyDescent="0.35">
      <c r="A42" s="8" t="s">
        <v>22</v>
      </c>
      <c r="B42">
        <v>151980</v>
      </c>
    </row>
    <row r="43" spans="1:2" x14ac:dyDescent="0.35">
      <c r="A43" s="8" t="s">
        <v>23</v>
      </c>
      <c r="B43">
        <v>231500</v>
      </c>
    </row>
    <row r="44" spans="1:2" x14ac:dyDescent="0.35">
      <c r="A44" s="8" t="s">
        <v>12</v>
      </c>
      <c r="B44">
        <v>389950</v>
      </c>
    </row>
    <row r="45" spans="1:2" x14ac:dyDescent="0.35">
      <c r="A45" s="8" t="s">
        <v>25</v>
      </c>
      <c r="B45">
        <v>1336370</v>
      </c>
    </row>
    <row r="49" spans="1:2" x14ac:dyDescent="0.35">
      <c r="A49" s="7" t="s">
        <v>24</v>
      </c>
      <c r="B49" t="s">
        <v>35</v>
      </c>
    </row>
    <row r="50" spans="1:2" x14ac:dyDescent="0.35">
      <c r="A50" s="8" t="s">
        <v>21</v>
      </c>
      <c r="B50" s="13">
        <v>8.1218274111675121E-2</v>
      </c>
    </row>
    <row r="51" spans="1:2" x14ac:dyDescent="0.35">
      <c r="A51" s="8" t="s">
        <v>15</v>
      </c>
      <c r="B51" s="13">
        <v>0.16582064297800339</v>
      </c>
    </row>
    <row r="52" spans="1:2" x14ac:dyDescent="0.35">
      <c r="A52" s="8" t="s">
        <v>10</v>
      </c>
      <c r="B52" s="13">
        <v>0.16159052453468697</v>
      </c>
    </row>
    <row r="53" spans="1:2" x14ac:dyDescent="0.35">
      <c r="A53" s="8" t="s">
        <v>13</v>
      </c>
      <c r="B53" s="13">
        <v>0.2673434856175973</v>
      </c>
    </row>
    <row r="54" spans="1:2" x14ac:dyDescent="0.35">
      <c r="A54" s="8" t="s">
        <v>17</v>
      </c>
      <c r="B54" s="13">
        <v>0.17089678510998307</v>
      </c>
    </row>
    <row r="55" spans="1:2" x14ac:dyDescent="0.35">
      <c r="A55" s="8" t="s">
        <v>19</v>
      </c>
      <c r="B55" s="13">
        <v>0.15313028764805414</v>
      </c>
    </row>
    <row r="56" spans="1:2" x14ac:dyDescent="0.35">
      <c r="A56" s="8" t="s">
        <v>25</v>
      </c>
      <c r="B56" s="13">
        <v>1</v>
      </c>
    </row>
    <row r="61" spans="1:2" x14ac:dyDescent="0.35">
      <c r="A61" s="7" t="s">
        <v>24</v>
      </c>
      <c r="B61" t="s">
        <v>35</v>
      </c>
    </row>
    <row r="62" spans="1:2" x14ac:dyDescent="0.35">
      <c r="A62" s="8" t="s">
        <v>21</v>
      </c>
      <c r="B62">
        <v>96</v>
      </c>
    </row>
    <row r="63" spans="1:2" x14ac:dyDescent="0.35">
      <c r="A63" s="8" t="s">
        <v>15</v>
      </c>
      <c r="B63">
        <v>196</v>
      </c>
    </row>
    <row r="64" spans="1:2" x14ac:dyDescent="0.35">
      <c r="A64" s="8" t="s">
        <v>10</v>
      </c>
      <c r="B64">
        <v>191</v>
      </c>
    </row>
    <row r="65" spans="1:2" x14ac:dyDescent="0.35">
      <c r="A65" s="8" t="s">
        <v>13</v>
      </c>
      <c r="B65">
        <v>316</v>
      </c>
    </row>
    <row r="66" spans="1:2" x14ac:dyDescent="0.35">
      <c r="A66" s="8" t="s">
        <v>17</v>
      </c>
      <c r="B66">
        <v>202</v>
      </c>
    </row>
    <row r="67" spans="1:2" x14ac:dyDescent="0.35">
      <c r="A67" s="8" t="s">
        <v>19</v>
      </c>
      <c r="B67">
        <v>181</v>
      </c>
    </row>
    <row r="68" spans="1:2" x14ac:dyDescent="0.35">
      <c r="A68" s="8" t="s">
        <v>25</v>
      </c>
      <c r="B68">
        <v>1182</v>
      </c>
    </row>
    <row r="75" spans="1:2" x14ac:dyDescent="0.35">
      <c r="A75" s="7" t="s">
        <v>24</v>
      </c>
      <c r="B75" t="s">
        <v>35</v>
      </c>
    </row>
    <row r="76" spans="1:2" x14ac:dyDescent="0.35">
      <c r="A76" s="8" t="s">
        <v>10</v>
      </c>
      <c r="B76">
        <v>191</v>
      </c>
    </row>
    <row r="77" spans="1:2" x14ac:dyDescent="0.35">
      <c r="A77" s="8" t="s">
        <v>17</v>
      </c>
      <c r="B77">
        <v>202</v>
      </c>
    </row>
    <row r="78" spans="1:2" x14ac:dyDescent="0.35">
      <c r="A78" s="8" t="s">
        <v>13</v>
      </c>
      <c r="B78">
        <v>316</v>
      </c>
    </row>
    <row r="79" spans="1:2" x14ac:dyDescent="0.35">
      <c r="A79" s="8" t="s">
        <v>25</v>
      </c>
      <c r="B79">
        <v>709</v>
      </c>
    </row>
    <row r="84" spans="1:2" x14ac:dyDescent="0.35">
      <c r="A84" s="7" t="s">
        <v>24</v>
      </c>
      <c r="B84" t="s">
        <v>35</v>
      </c>
    </row>
    <row r="85" spans="1:2" x14ac:dyDescent="0.35">
      <c r="A85" s="8" t="s">
        <v>10</v>
      </c>
      <c r="B85">
        <v>191</v>
      </c>
    </row>
    <row r="86" spans="1:2" x14ac:dyDescent="0.35">
      <c r="A86" s="8" t="s">
        <v>19</v>
      </c>
      <c r="B86">
        <v>181</v>
      </c>
    </row>
    <row r="87" spans="1:2" x14ac:dyDescent="0.35">
      <c r="A87" s="8" t="s">
        <v>21</v>
      </c>
      <c r="B87">
        <v>96</v>
      </c>
    </row>
    <row r="88" spans="1:2" x14ac:dyDescent="0.35">
      <c r="A88" s="8" t="s">
        <v>25</v>
      </c>
      <c r="B88">
        <v>468</v>
      </c>
    </row>
    <row r="92" spans="1:2" x14ac:dyDescent="0.35">
      <c r="A92" s="7" t="s">
        <v>24</v>
      </c>
      <c r="B92" t="s">
        <v>33</v>
      </c>
    </row>
    <row r="93" spans="1:2" x14ac:dyDescent="0.35">
      <c r="A93" s="8" t="s">
        <v>8</v>
      </c>
      <c r="B93">
        <v>299710</v>
      </c>
    </row>
    <row r="94" spans="1:2" x14ac:dyDescent="0.35">
      <c r="A94" s="8" t="s">
        <v>16</v>
      </c>
      <c r="B94">
        <v>127850</v>
      </c>
    </row>
    <row r="95" spans="1:2" x14ac:dyDescent="0.35">
      <c r="A95" s="8" t="s">
        <v>18</v>
      </c>
      <c r="B95">
        <v>88190</v>
      </c>
    </row>
    <row r="96" spans="1:2" x14ac:dyDescent="0.35">
      <c r="A96" s="8" t="s">
        <v>14</v>
      </c>
      <c r="B96">
        <v>101150</v>
      </c>
    </row>
    <row r="97" spans="1:2" x14ac:dyDescent="0.35">
      <c r="A97" s="8" t="s">
        <v>11</v>
      </c>
      <c r="B97">
        <v>296370</v>
      </c>
    </row>
    <row r="98" spans="1:2" x14ac:dyDescent="0.35">
      <c r="A98" s="8" t="s">
        <v>20</v>
      </c>
      <c r="B98">
        <v>423100</v>
      </c>
    </row>
    <row r="99" spans="1:2" x14ac:dyDescent="0.35">
      <c r="A99" s="8" t="s">
        <v>25</v>
      </c>
      <c r="B99">
        <v>1336370</v>
      </c>
    </row>
    <row r="103" spans="1:2" x14ac:dyDescent="0.35">
      <c r="A103" s="7" t="s">
        <v>24</v>
      </c>
      <c r="B103" t="s">
        <v>33</v>
      </c>
    </row>
    <row r="104" spans="1:2" x14ac:dyDescent="0.35">
      <c r="A104" s="8" t="s">
        <v>11</v>
      </c>
      <c r="B104">
        <v>296370</v>
      </c>
    </row>
    <row r="105" spans="1:2" x14ac:dyDescent="0.35">
      <c r="A105" s="8" t="s">
        <v>8</v>
      </c>
      <c r="B105">
        <v>299710</v>
      </c>
    </row>
    <row r="106" spans="1:2" x14ac:dyDescent="0.35">
      <c r="A106" s="8" t="s">
        <v>20</v>
      </c>
      <c r="B106">
        <v>423100</v>
      </c>
    </row>
    <row r="107" spans="1:2" x14ac:dyDescent="0.35">
      <c r="A107" s="8" t="s">
        <v>25</v>
      </c>
      <c r="B107">
        <v>1019180</v>
      </c>
    </row>
    <row r="111" spans="1:2" x14ac:dyDescent="0.35">
      <c r="A111" s="7" t="s">
        <v>24</v>
      </c>
      <c r="B111" t="s">
        <v>33</v>
      </c>
    </row>
    <row r="112" spans="1:2" x14ac:dyDescent="0.35">
      <c r="A112" s="8" t="s">
        <v>16</v>
      </c>
      <c r="B112">
        <v>127850</v>
      </c>
    </row>
    <row r="113" spans="1:2" x14ac:dyDescent="0.35">
      <c r="A113" s="8" t="s">
        <v>14</v>
      </c>
      <c r="B113">
        <v>101150</v>
      </c>
    </row>
    <row r="114" spans="1:2" x14ac:dyDescent="0.35">
      <c r="A114" s="8" t="s">
        <v>18</v>
      </c>
      <c r="B114">
        <v>88190</v>
      </c>
    </row>
    <row r="115" spans="1:2" x14ac:dyDescent="0.35">
      <c r="A115" s="8" t="s">
        <v>25</v>
      </c>
      <c r="B115">
        <v>317190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Pivot table</vt:lpstr>
      <vt:lpstr>Dashboard </vt:lpstr>
      <vt:lpstr> Products </vt:lpstr>
      <vt:lpstr>Salesman </vt:lpstr>
      <vt:lpstr>About</vt:lpstr>
      <vt:lpstr>salesman</vt:lpstr>
      <vt:lpstr>Products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Bhavya Garg</cp:lastModifiedBy>
  <cp:lastPrinted>2026-09-26T09:59:00Z</cp:lastPrinted>
  <dcterms:created xsi:type="dcterms:W3CDTF">2021-11-30T04:15:57Z</dcterms:created>
  <dcterms:modified xsi:type="dcterms:W3CDTF">2026-10-04T20:04:42Z</dcterms:modified>
</cp:coreProperties>
</file>